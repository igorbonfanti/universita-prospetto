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Cumulativo" sheetId="2" state="visible" r:id="rId4"/>
    <sheet name="Parametri" sheetId="3" state="visible" r:id="rId5"/>
    <sheet name="Francesca" sheetId="4" state="visible" r:id="rId6"/>
    <sheet name="Marco" sheetId="5" state="visible" r:id="rId7"/>
    <sheet name="Iacopo" sheetId="6" state="visible" r:id="rId8"/>
    <sheet name="Font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3 anni IBEB + quota BSc² (Parametri) × 1 anno extra</t>
        </r>
      </text>
    </comment>
  </commentList>
</comments>
</file>

<file path=xl/sharedStrings.xml><?xml version="1.0" encoding="utf-8"?>
<sst xmlns="http://schemas.openxmlformats.org/spreadsheetml/2006/main" count="475" uniqueCount="321">
  <si>
    <t xml:space="preserve">Prospetto esborsi Bachelor — Francesca, Marco, Iacopo (stima ponderata per probabilità)</t>
  </si>
  <si>
    <t xml:space="preserve">Aggiornato al 5 ottobre 2026. Valori in euro nominali (indicizzati). Solo bachelor: i master verranno trattati separatamente.</t>
  </si>
  <si>
    <t xml:space="preserve">COME LEGGERE IL FILE</t>
  </si>
  <si>
    <t xml:space="preserve">1. 'Parametri': tassi di crescita, costo del mantenimento per città e rette per ateneo. Le celle in BLU su sfondo giallo sono gli input: cambiandole si ricalcola tutto.</t>
  </si>
  <si>
    <t xml:space="preserve">2. 'Francesca', 'Marco', 'Iacopo': per ciascuno una CASCATA di opzioni in ordine di preferenza (riga 1 = dove andrebbe se ammesso ovunque). P(ammissione) è l'input; P(iscrizione) è calcolata: P(ammesso qui) × P(non ammesso in tutte le righe sopra). L'ultima riga è il ripiego a Milano (P=100%), così le probabilità di iscrizione sommano sempre a 100%.</t>
  </si>
  <si>
    <t xml:space="preserve">3. Per ogni opzione: costo annuo nominale per anno accademico (retta indicizzata + mantenimento indicizzato + una tantum 1° anno) e costo atteso = P(iscrizione) × costo totale del percorso.</t>
  </si>
  <si>
    <t xml:space="preserve">4. 'Cumulativo': esborso atteso per anno accademico dei tre ragazzi, cumulato, con tre scenari di confronto (più probabile, economico, caro).</t>
  </si>
  <si>
    <t xml:space="preserve">5. 'Fonti': link alle pagine ufficiali usate per rette e costi (ottobre 2026).</t>
  </si>
  <si>
    <t xml:space="preserve">IPOTESI PRINCIPALI</t>
  </si>
  <si>
    <t xml:space="preserve">• Famiglia in fascia contributiva massima ovunque (nessuna borsa/ISEE); sussidi come la SU danese o le borse SUSI irlandesi esclusi.</t>
  </si>
  <si>
    <t xml:space="preserve">• Mantenimento fuori sede = 12 mesi, alloggio di buona qualità (studio o camera in studentato/privato), vitto e tempo libero senza economie estreme, 4-5 rientri a Milano l'anno, polizza integrativa, libri, arredo/depositi del 1° anno. Studente che vive a casa a Milano: solo spese aggiuntive (ATM, libri, pasti fuori, telefono).</t>
  </si>
  <si>
    <t xml:space="preserve">• Rette: base 2026/27 (o 2027/28 dove già pubblicata) indicizzata al 2,5%/anno (Forward College 5%, IE 2,9% come dichiarato). Mantenimento indicizzato al 3%/anno dal 2026.</t>
  </si>
  <si>
    <t xml:space="preserve">• Francesca entra nel 2027/28 (3 anni; 4 se BSc² Rotterdam). Marco e Iacopo entrano nel 2028/29. Nessun anno fuori corso, nessun gap year, nessun cambio di ateneo in corsa.</t>
  </si>
  <si>
    <t xml:space="preserve">• Le probabilità di ammissione sono stime professionali basate su dati ufficiali (posti, candidati, soglie, tabelle di conversione) e sui profili descritti: Francesca media 8,5 / C1 / test Bocconi da ripetere; Marco media 7-7,5 / B2; Iacopo media &lt;7 ma forte a test attitudinali e colloqui. Sono giudizi, non dati: vanno aggiornate a fine quarta (giugno 2027) per i gemelli e dopo il nuovo test Bocconi per Francesca.</t>
  </si>
  <si>
    <t xml:space="preserve">• L'ordine di preferenza è un'ipotesi di lavoro: Francesca estero &gt; Bocconi; Marco estero ma Bocconi gradita; Iacopo atenei dove contano test e colloquio. Per cambiare l'ordine basta spostare intere righe (le formule della cascata sono relative).</t>
  </si>
  <si>
    <t xml:space="preserve">LIMITI</t>
  </si>
  <si>
    <t xml:space="preserve">• Il valore atteso è una media ponderata: nessuno pagherà esattamente quella cifra. Guardare anche gli scenari 'economico' e 'caro' per il range reale.</t>
  </si>
  <si>
    <t xml:space="preserve">• Esclusi: master, eventuale anno di studio all'estero con costi diversi (Sciences Po 3° anno, ESCP Londra), tasse di candidatura minori, auto/moto, spese sanitarie straordinarie, inflazione oltre i tassi ipotizzati.</t>
  </si>
  <si>
    <t xml:space="preserve">ESBORSO CUMULATIVO — valore atteso ponderato per probabilità e scenari (bachelor)</t>
  </si>
  <si>
    <t xml:space="preserve">Euro nominali per anno accademico (settembre→agosto). Riga 'cumulato' = somma progressiva.</t>
  </si>
  <si>
    <t xml:space="preserve">Anno accademico</t>
  </si>
  <si>
    <t xml:space="preserve">2027/28</t>
  </si>
  <si>
    <t xml:space="preserve">2028/29</t>
  </si>
  <si>
    <t xml:space="preserve">2029/30</t>
  </si>
  <si>
    <t xml:space="preserve">2030/31</t>
  </si>
  <si>
    <t xml:space="preserve">2031/32</t>
  </si>
  <si>
    <t xml:space="preserve">2032/33</t>
  </si>
  <si>
    <t xml:space="preserve">Totale percorso</t>
  </si>
  <si>
    <t xml:space="preserve">Nota</t>
  </si>
  <si>
    <t xml:space="preserve">A) VALORE ATTESO (ponderato per P(iscrizione))</t>
  </si>
  <si>
    <t xml:space="preserve">Francesca — atteso</t>
  </si>
  <si>
    <t xml:space="preserve">Somma su tutte le opzioni della cascata</t>
  </si>
  <si>
    <t xml:space="preserve">Marco — atteso</t>
  </si>
  <si>
    <t xml:space="preserve">Iacopo — atteso</t>
  </si>
  <si>
    <t xml:space="preserve">Totale famiglia</t>
  </si>
  <si>
    <t xml:space="preserve">Cumulato progressivo</t>
  </si>
  <si>
    <t xml:space="preserve">B) SCENARIO PIÙ PROBABILE (ciascuno nell'opzione con la P(iscrizione) più alta)</t>
  </si>
  <si>
    <t xml:space="preserve">Francesca</t>
  </si>
  <si>
    <t xml:space="preserve">Marco</t>
  </si>
  <si>
    <t xml:space="preserve">Iacopo</t>
  </si>
  <si>
    <t xml:space="preserve">C) SCENARIO ECONOMICO (opzione meno cara tra quelle con P(iscrizione) ≥ soglia)</t>
  </si>
  <si>
    <t xml:space="preserve">D) SCENARIO CARO (opzione più cara tra quelle con P(iscrizione) ≥ soglia)</t>
  </si>
  <si>
    <t xml:space="preserve">SINTESI TOTALE PERCORSO (3 bachelor)</t>
  </si>
  <si>
    <t xml:space="preserve">Valore atteso</t>
  </si>
  <si>
    <t xml:space="preserve">Scenario più probabile</t>
  </si>
  <si>
    <t xml:space="preserve">Scenario economico</t>
  </si>
  <si>
    <t xml:space="preserve">Scenario caro</t>
  </si>
  <si>
    <t xml:space="preserve">Nota: gli scenari B-D non sono ponderati; servono a leggere il range. Il valore atteso include anche i casi a bassa probabilità (es. Sciences Po, Dublino).</t>
  </si>
  <si>
    <t xml:space="preserve">PARAMETRI GENERALI</t>
  </si>
  <si>
    <t xml:space="preserve">Parametro</t>
  </si>
  <si>
    <t xml:space="preserve">Valore</t>
  </si>
  <si>
    <t xml:space="preserve">Crescita annua rette (default)</t>
  </si>
  <si>
    <t xml:space="preserve">Storico Bocconi +1,8% 2025→26; Sciences Po +2-3%/anno; NL indicizzata inflazione</t>
  </si>
  <si>
    <t xml:space="preserve">Crescita annua mantenimento</t>
  </si>
  <si>
    <t xml:space="preserve">Affitti studenteschi +3-7%/anno nelle grandi città NL/ES/IE</t>
  </si>
  <si>
    <t xml:space="preserve">Anno base mantenimento</t>
  </si>
  <si>
    <t xml:space="preserve">Le stime di costo della vita sono 2026</t>
  </si>
  <si>
    <t xml:space="preserve">Anno di ingresso Francesca</t>
  </si>
  <si>
    <t xml:space="preserve">a.a. 2027/28</t>
  </si>
  <si>
    <t xml:space="preserve">Anno di ingresso Marco e Iacopo</t>
  </si>
  <si>
    <t xml:space="preserve">a.a. 2028/29</t>
  </si>
  <si>
    <t xml:space="preserve">Quota BSc² (4 anni) se Rotterdam — Francesca</t>
  </si>
  <si>
    <t xml:space="preserve">Se ammessa a Rotterdam: 35% che scelga il doppio bachelor Econometrics &amp; Economics (4 anni) invece di IBEB (3)</t>
  </si>
  <si>
    <t xml:space="preserve">Soglia P(iscrizione) per scenari econ./caro</t>
  </si>
  <si>
    <t xml:space="preserve">Negli scenari si considerano solo le opzioni con almeno questa probabilità di iscrizione</t>
  </si>
  <si>
    <t xml:space="preserve">MANTENIMENTO ANNUO PER CITTÀ (base 2026, 12 mesi, escluse rette)</t>
  </si>
  <si>
    <t xml:space="preserve">Città</t>
  </si>
  <si>
    <t xml:space="preserve">€/anno base 2026</t>
  </si>
  <si>
    <t xml:space="preserve">Composizione / fonte</t>
  </si>
  <si>
    <t xml:space="preserve">Milano (a casa)</t>
  </si>
  <si>
    <t xml:space="preserve">Studente che vive in famiglia: ATM under 27 ~200, libri 400-700, pasti fuori 1.000-1.400, telefono, svago extra (Federconsumatori 2025)</t>
  </si>
  <si>
    <t xml:space="preserve">Rotterdam</t>
  </si>
  <si>
    <t xml:space="preserve">Studio/camera di qualità ~1.050/mese (Kamernet/kamer.nl 2025-26: camera 700-790, studio 1.250+), vitto e svago 750/mese, libri/assic./bici 2.000, voli 900, extra 1.500 (EUR: 1.000-1.800/mese)</t>
  </si>
  <si>
    <t xml:space="preserve">Amsterdam</t>
  </si>
  <si>
    <t xml:space="preserve">Studio ~1.400/mese (kamer.nl 1.408; camera 850-990), vitto e svago 800/mese, 2.000 libri/assic./bici, voli 900, extra 1.500 (AUAS: 1.200-1.800/mese)</t>
  </si>
  <si>
    <t xml:space="preserve">Tilburg</t>
  </si>
  <si>
    <t xml:space="preserve">Studio ~850/mese (camera 535-592), vitto 700/mese, 2.000, voli 900, extra 1.500 (Tilburg: 1.000-1.200/mese)</t>
  </si>
  <si>
    <t xml:space="preserve">Maastricht</t>
  </si>
  <si>
    <t xml:space="preserve">Studio ~900/mese (camera 565-625), vitto 700/mese, 2.000, voli 900, extra 1.500</t>
  </si>
  <si>
    <t xml:space="preserve">Delft</t>
  </si>
  <si>
    <t xml:space="preserve">Camera/studio studentato ~800/mese, vitto 700, 2.000, voli 900, extra 1.500 (TU Delft: ~909/mese medio)</t>
  </si>
  <si>
    <t xml:space="preserve">Parigi</t>
  </si>
  <si>
    <t xml:space="preserve">Studio 1.000-1.100/mese (LocService 2025-26: studio 917-962), vitto/trasporti/svago 900-1.000/mese, voli 700-900 (UNEF: budget 1.627/mese)</t>
  </si>
  <si>
    <t xml:space="preserve">Reims</t>
  </si>
  <si>
    <t xml:space="preserve">Studio 500-600/mese (LocService 2026: T1 461), resto 750-850/mese — campus Sciences Po / PEM anni 1-2</t>
  </si>
  <si>
    <t xml:space="preserve">ESCP (media 3 campus)</t>
  </si>
  <si>
    <t xml:space="preserve">Media di Parigi 24.000, Londra ~29.000 (£25k), Torino/Madrid/Berlino ~16-20.000 — un anno per campus</t>
  </si>
  <si>
    <t xml:space="preserve">Forward College (Lisbona/Parigi/Berlino)</t>
  </si>
  <si>
    <t xml:space="preserve">Media dei tre anni: Lisbona ~20.000, Parigi ~24.000, Berlino ~21.000 (stime Forward: alloggio 7.150-15.600/anno + vitto)</t>
  </si>
  <si>
    <t xml:space="preserve">Madrid</t>
  </si>
  <si>
    <t xml:space="preserve">Tra scenario camera (750/mese, 24.000) e studio (1.100/mese, 28.000); Idealista Q2-Q3 2026 camera 550, studio 976; IE: camera 600-1.100, studio 800-1.600</t>
  </si>
  <si>
    <t xml:space="preserve">Barcellona</t>
  </si>
  <si>
    <t xml:space="preserve">Tra camera (800/mese, 25.000) e studio (1.150/mese, 29.000); Idealista 2026 camera 600, studio 960</t>
  </si>
  <si>
    <t xml:space="preserve">Copenhagen</t>
  </si>
  <si>
    <t xml:space="preserve">Studio/kollegium ~900/mese incl. utenze (6.500-7.000 DKK), vitto e svago 970/mese, voli 1.000, arredo/bici 500 (cauzione 3 mesi restituita). Con SU (lavoro 10-12 h/sett.) scenderebbe a ~14-15.000</t>
  </si>
  <si>
    <t xml:space="preserve">Dublino</t>
  </si>
  <si>
    <t xml:space="preserve">Alloggio 1.200/mese (mediana UCD; Daft Q1 2026 camera 874-1.007, monolocale 1.966), vitto/utenze/svago 1.275/mese, voli 1.000 (UCD stima 2.445/mese)</t>
  </si>
  <si>
    <t xml:space="preserve">RETTE PER ATENEO/CORSO (fascia massima, studente UE)</t>
  </si>
  <si>
    <t xml:space="preserve">Opzione (chiave)</t>
  </si>
  <si>
    <t xml:space="preserve">Retta annua base €</t>
  </si>
  <si>
    <t xml:space="preserve">Anno base retta</t>
  </si>
  <si>
    <t xml:space="preserve">Anni</t>
  </si>
  <si>
    <t xml:space="preserve">Crescita retta</t>
  </si>
  <si>
    <t xml:space="preserve">Una tantum 1° anno €</t>
  </si>
  <si>
    <t xml:space="preserve">Note / fonte</t>
  </si>
  <si>
    <t xml:space="preserve">Bocconi — CLEAM/Management/BIEM</t>
  </si>
  <si>
    <t xml:space="preserve">2026/27: 17.000 tutto compreso (tassa regionale e bolli inclusi), uguale per tutti i bachelor; 2025/26 era 16.700</t>
  </si>
  <si>
    <t xml:space="preserve">Cattolica Milano — Economia</t>
  </si>
  <si>
    <t xml:space="preserve">Fascia massima 2026/27 ricostruita dalla normativa: ~11.440-11.790 (Economia / Economics and Management). Usata come ripiego milanese</t>
  </si>
  <si>
    <t xml:space="preserve">Statale Milano — Economia/Scienze politiche</t>
  </si>
  <si>
    <t xml:space="preserve">ISEE &gt;80.000: 3.204 + tassa regionale 190 + bollo 16 (2026/27). Per riferimento</t>
  </si>
  <si>
    <t xml:space="preserve">Rotterdam EUR — IBEB</t>
  </si>
  <si>
    <t xml:space="preserve">Retta statutaria NL 2027/28 già fissata: 2.771 (2026/27: 2.694). Numerus fixus 700 posti</t>
  </si>
  <si>
    <t xml:space="preserve">Rotterdam EUR — BSc² Econometrics &amp; Economics</t>
  </si>
  <si>
    <t xml:space="preserve">4 anni (264 ECTS), retta statutaria anche il 4° anno (da confermare con ESSC)</t>
  </si>
  <si>
    <t xml:space="preserve">Rotterdam RSM — IBA</t>
  </si>
  <si>
    <t xml:space="preserve">Numerus fixus 650 posti; 75% media + 25% motivazione; study trips 300-500/anno inclusi nel mantenimento</t>
  </si>
  <si>
    <t xml:space="preserve">UvA Amsterdam — Economics &amp; Business Economics</t>
  </si>
  <si>
    <t xml:space="preserve">Numerus fixus 550 posti, selezione solo con test online (2026: offerte fino al 1.487° su ~1.500)</t>
  </si>
  <si>
    <t xml:space="preserve">VU Amsterdam — Economics &amp; Business Economics</t>
  </si>
  <si>
    <t xml:space="preserve">Solo requisiti (matematica livello A / OMPT-A)</t>
  </si>
  <si>
    <t xml:space="preserve">Tilburg — Economics / IBA</t>
  </si>
  <si>
    <t xml:space="preserve">Solo requisiti + matching; housing garantito 1° anno</t>
  </si>
  <si>
    <t xml:space="preserve">Maastricht SBE — International Business</t>
  </si>
  <si>
    <t xml:space="preserve">Numerus fixus con selezione: essay 1/3, CV 1/3, voti penultimo anno 1/3</t>
  </si>
  <si>
    <t xml:space="preserve">Maastricht SBE — Economics &amp; Business Economics</t>
  </si>
  <si>
    <t xml:space="preserve">Solo requisiti + matching</t>
  </si>
  <si>
    <t xml:space="preserve">TU Delft — Computer Science &amp; Engineering</t>
  </si>
  <si>
    <t xml:space="preserve">Per riferimento (Iacopo): numerus fixus con test mate/fisica; laptop obbligatorio ~1.350</t>
  </si>
  <si>
    <t xml:space="preserve">Sciences Po — Bachelor Collège universitaire</t>
  </si>
  <si>
    <t xml:space="preserve">Fascia massima 2026/27 (reddito &gt;95.000 €/parte); 3° anno all'estero si paga la retta Sciences Po. Campus Reims costerebbe ~8.000/anno in meno di mantenimento</t>
  </si>
  <si>
    <t xml:space="preserve">ESCP — Bachelor in Management</t>
  </si>
  <si>
    <t xml:space="preserve">Intake 2027: 17.900 + 2.900 fees = 20.800, uguale per tutti i campus; application fee 80</t>
  </si>
  <si>
    <t xml:space="preserve">Forward College — Business &amp; Management</t>
  </si>
  <si>
    <t xml:space="preserve">2027/28 UE: 21.850, +5%/anno dichiarato; early bird -10% sul 1° anno entro 31/12/2026 non considerato; UoL enrolment ~70</t>
  </si>
  <si>
    <t xml:space="preserve">IE University Madrid — BBA</t>
  </si>
  <si>
    <t xml:space="preserve">2026/27: 29.000 (Economics 26.500), +2,9%/anno fisso; una tantum: admission 150 + reservation 5.000 + IE Foundation 1.200</t>
  </si>
  <si>
    <t xml:space="preserve">ESADE Barcellona — BBA / GGELO</t>
  </si>
  <si>
    <t xml:space="preserve">Prezzo 2027/28 già pubblicato: 21.300; aumenti ≤ inflazione; scambi e lingue inclusi</t>
  </si>
  <si>
    <t xml:space="preserve">UC3M Madrid — Economics/ADE (inglese)</t>
  </si>
  <si>
    <t xml:space="preserve">Pubblica: 16,92 €/credito × 60 + tasse fisse; una tantum = accreditamento UNEDasiss + PCE</t>
  </si>
  <si>
    <t xml:space="preserve">UPF Barcellona — Economia / IBE</t>
  </si>
  <si>
    <t xml:space="preserve">Pubblica catalana: 17,69 €/credito × 60 + tasse fisse</t>
  </si>
  <si>
    <t xml:space="preserve">CBS Copenhagen — BSc (IB / BADM / BASM)</t>
  </si>
  <si>
    <t xml:space="preserve">Studenti UE: nessuna retta né application fee; una tantum arredo/bici</t>
  </si>
  <si>
    <t xml:space="preserve">UCD Dublino — Commerce / Economics</t>
  </si>
  <si>
    <t xml:space="preserve">Free Fees Initiative + Student Contribution 2.500 + levy 254 (2026/27); BComm 3 anni (4 con internship)</t>
  </si>
  <si>
    <t xml:space="preserve">Trinity Dublino — BESS / PPES</t>
  </si>
  <si>
    <t xml:space="preserve">Student Contribution 2.500 + levies 212,75; 4 anni; richiede ~100 e lode (565 punti)</t>
  </si>
  <si>
    <t xml:space="preserve">Legenda: blu su giallo = input modificabile; blu = input; nero = formula; verde = collegamento ad altro foglio.</t>
  </si>
  <si>
    <t xml:space="preserve">FRANCESCA — cascata di opzioni, probabilità e costi</t>
  </si>
  <si>
    <t xml:space="preserve">Profilo: liceo scientifico bilingue quadriennale, media 8,4-8,5, inglese C1, test Bocconi settembre 2026 andato male (da ripetere). Preferisce l'estero; Bocconi non è la prima scelta ma resta davanti alle opzioni più care/meno prestigiose.</t>
  </si>
  <si>
    <t xml:space="preserve">Anno di ingresso (a.a. che inizia a settembre):</t>
  </si>
  <si>
    <t xml:space="preserve">← da Parametri</t>
  </si>
  <si>
    <t xml:space="preserve">Costo annuo nominale dell'opzione (non ponderato)</t>
  </si>
  <si>
    <t xml:space="preserve">Esborso atteso = P(iscrizione) × costo</t>
  </si>
  <si>
    <t xml:space="preserve">#</t>
  </si>
  <si>
    <t xml:space="preserve">Opzione (chiave in Parametri)</t>
  </si>
  <si>
    <t xml:space="preserve">P(ammiss.)</t>
  </si>
  <si>
    <t xml:space="preserve">P(iscriz.)</t>
  </si>
  <si>
    <t xml:space="preserve">Retta base €</t>
  </si>
  <si>
    <t xml:space="preserve">Anno base</t>
  </si>
  <si>
    <t xml:space="preserve">Mantenim. base €</t>
  </si>
  <si>
    <t xml:space="preserve">Una tantum €</t>
  </si>
  <si>
    <t xml:space="preserve">Costo 1° anno €</t>
  </si>
  <si>
    <t xml:space="preserve">Costo totale percorso €</t>
  </si>
  <si>
    <t xml:space="preserve">Costo atteso €</t>
  </si>
  <si>
    <t xml:space="preserve">Costo 2027/28</t>
  </si>
  <si>
    <t xml:space="preserve">Costo 2028/29</t>
  </si>
  <si>
    <t xml:space="preserve">Costo 2029/30</t>
  </si>
  <si>
    <t xml:space="preserve">Costo 2030/31</t>
  </si>
  <si>
    <t xml:space="preserve">Costo 2031/32</t>
  </si>
  <si>
    <t xml:space="preserve">Costo 2032/33</t>
  </si>
  <si>
    <t xml:space="preserve">Atteso 2027/28</t>
  </si>
  <si>
    <t xml:space="preserve">Atteso 2028/29</t>
  </si>
  <si>
    <t xml:space="preserve">Atteso 2029/30</t>
  </si>
  <si>
    <t xml:space="preserve">Atteso 2030/31</t>
  </si>
  <si>
    <t xml:space="preserve">Atteso 2031/32</t>
  </si>
  <si>
    <t xml:space="preserve">Atteso 2032/33</t>
  </si>
  <si>
    <t xml:space="preserve">Motivazione della probabilità</t>
  </si>
  <si>
    <t xml:space="preserve">Parcoursup 2025: ~10% ammessi, 92% con media &gt;16/20; procedura internazionale &lt;200 posti. Media 8,5 è sotto la mediana; C1 e dossier aiutano.</t>
  </si>
  <si>
    <t xml:space="preserve">Numerus fixus 700 posti: i primi 350 per pura media (mate ≥7 e inglese ok). Con 8,5 è nella fascia alta; rischio residuo diploma quadriennale e sorteggio.</t>
  </si>
  <si>
    <t xml:space="preserve">Kvote 1: IB richiede 11,1/12 (quasi solo 95-100 di maturità); BADM/BASM 9,4-9,8 raggiungibili con 8,5 (~9-10 danese). Kvote 2 possibile.</t>
  </si>
  <si>
    <t xml:space="preserve">Formula 55% test / 45% media 3ª-4ª: media 8,4-8,5 sopra la mediana stimata; serve rifare il test a 30+/50 in Early 2026 per il 2027. Corsi in italiano meno selettivi.</t>
  </si>
  <si>
    <t xml:space="preserve">Punti CAO 2025-26: Commerce 553-554, Economics 542-544 ≈ maturità 87-88 con la tabella CAO (90→574, 80→506). Diploma quadriennale da far riconoscere.</t>
  </si>
  <si>
    <t xml:space="preserve">Test IE/SAT ≥1200 + colloquio; benchmark Bachillerato 7,5+. Profilo A sopra i benchmark; tasso non ufficiale 30-40%.</t>
  </si>
  <si>
    <t xml:space="preserve">Valutazione olistica (transcript, statement, CV, C1, colloquio), nessun test obbligatorio; media 8,5 adeguata.</t>
  </si>
  <si>
    <t xml:space="preserve">Candidatura già inviata (sett. 2026); dichiarano ~1 su 8 offerte; dossier + colloquio 30'; requisito accademico UoL ≈ ABB.</t>
  </si>
  <si>
    <t xml:space="preserve">Ripiego a Milano: ammissione pressoché certa.</t>
  </si>
  <si>
    <t xml:space="preserve">TOTALE / ATTESO</t>
  </si>
  <si>
    <t xml:space="preserve">P(iscrizione) deve sommare a 100%</t>
  </si>
  <si>
    <t xml:space="preserve">Scenario più probabile (max P(iscrizione))</t>
  </si>
  <si>
    <t xml:space="preserve">Scenario economico (min costo tra opzioni con P ≥ soglia)</t>
  </si>
  <si>
    <t xml:space="preserve">Scenario caro (max costo tra opzioni con P ≥ soglia)</t>
  </si>
  <si>
    <t xml:space="preserve">MARCO — cascata di opzioni, probabilità e costi</t>
  </si>
  <si>
    <t xml:space="preserve">Profilo: liceo scientifico quinquennale, 4ª nel 2026/27, media obiettivo 7,5 (poco meno di 7 in 3ª), inglese B2 (potenziale C1), matematica da portare verso l'8. Preferisce l'estero in città vere; Bocconi gradita. Candidatura Rotterdam già decisa (IBA).</t>
  </si>
  <si>
    <t xml:space="preserve">Numerus fixus 650 posti, ranking 75% media (non arrotondata) + 25% motivazione; ultimo ammesso ~1.280° con liste d'attesa. Media 7-7,5 converte vicino alla soglia 6,5 NL: 50/50, motivazione decisiva.</t>
  </si>
  <si>
    <t xml:space="preserve">Con media 7-7,5 (3ª e 4ª) serve un test ≥35/50: possibile ma non probabile. Solo corsi in italiano (CLEAM/Management).</t>
  </si>
  <si>
    <t xml:space="preserve">Test ESADE/SAT + transcript 3 anni a pari peso; benchmark IB 34+. Media 7,5 sotto i benchmark, compensabile con test forte.</t>
  </si>
  <si>
    <t xml:space="preserve">Selezione 1/3 essay, 1/3 CV, 1/3 voti penultimo anno (mate 50%); ~67% dei candidati selezionati.</t>
  </si>
  <si>
    <t xml:space="preserve">Numerus fixus con solo test online: nel 2026 offerte fino al 1.487° su ~1.500 partecipanti; richiesti diploma scientifico e matematica sufficiente.</t>
  </si>
  <si>
    <t xml:space="preserve">Solo requisiti (matematica all'esame finale, IELTS 6.0) + matching.</t>
  </si>
  <si>
    <t xml:space="preserve">Ripiego a Milano.</t>
  </si>
  <si>
    <t xml:space="preserve">IACOPO — cascata di opzioni, probabilità e costi</t>
  </si>
  <si>
    <t xml:space="preserve">Profilo: liceo scientifico quinquennale, 4ª nel 2026/27, media sotto il 7, forte attitudine logico-matematica, molto brillante a colloquio e test attitudinali, inglese B2. Obiettivo: atenei dove contano test/colloquio più della media; estero in città vere.</t>
  </si>
  <si>
    <t xml:space="preserve">Selezione solo con test online di matematica/economia (2026: quasi tutti i partecipanti hanno ricevuto un'offerta); ideale per chi rende nei test. Rischio: requisito matematica sul diploma.</t>
  </si>
  <si>
    <t xml:space="preserve">Test attitudinale IE + video Kira + colloquio 30': i criteri non accademici pesano quanto la media; media &lt;7 sotto i benchmark ma recuperabile.</t>
  </si>
  <si>
    <t xml:space="preserve">Essay e CV valgono 2/3 del punteggio; voti del penultimo anno 1/3 (mate 50%).</t>
  </si>
  <si>
    <t xml:space="preserve">Test + transcript a pari peso: il test può compensare, la media &lt;7 pesa.</t>
  </si>
  <si>
    <t xml:space="preserve">Dossier + colloquio 30' in inglese, molto centrato sulla persona; il requisito UoL (≈ maturità 80+) è il limite.</t>
  </si>
  <si>
    <t xml:space="preserve">Media &lt;7 in 3ª-4ª: servirebbe un test eccezionale (≥40/50). Il 55% di peso del test lascia una porta aperta ma stretta.</t>
  </si>
  <si>
    <t xml:space="preserve">Solo requisiti + matching; rischio solo sul requisito di matematica.</t>
  </si>
  <si>
    <t xml:space="preserve">FONTI (consultate il 5 ottobre 2026)</t>
  </si>
  <si>
    <t xml:space="preserve">Area</t>
  </si>
  <si>
    <t xml:space="preserve">Cosa</t>
  </si>
  <si>
    <t xml:space="preserve">URL</t>
  </si>
  <si>
    <t xml:space="preserve">Bocconi</t>
  </si>
  <si>
    <t xml:space="preserve">Tasse e contributi 2026/27 (17.000 €)</t>
  </si>
  <si>
    <t xml:space="preserve">https://www.unibocconi.it/it/entrare-bocconi/corsi-di-laurea-triennale-e-giurisprudenza/tasse-e-contributi</t>
  </si>
  <si>
    <t xml:space="preserve">Ammissione: formula 55% test / 45% media</t>
  </si>
  <si>
    <t xml:space="preserve">https://www.unibocconi.it/it/entrare-bocconi/corsi-di-laurea-triennale-e-giurisprudenza/ammissione/ammissione</t>
  </si>
  <si>
    <t xml:space="preserve">Cattolica</t>
  </si>
  <si>
    <t xml:space="preserve">Normativa contributi 1° anno 2026/27</t>
  </si>
  <si>
    <t xml:space="preserve">https://studenticattolica.unicatt.it/2026-2027%20Normativa%20tasse%20primo%20anno%20di%20corso.pdf</t>
  </si>
  <si>
    <t xml:space="preserve">Statale</t>
  </si>
  <si>
    <t xml:space="preserve">Regolamento tasse 2026/27</t>
  </si>
  <si>
    <t xml:space="preserve">https://www.unimi.it/sites/default/files/regolamenti/Regolamento%20tasse%20e%20contributi%202026_2027_signed.pdf</t>
  </si>
  <si>
    <t xml:space="preserve">Milano</t>
  </si>
  <si>
    <t xml:space="preserve">Tariffe ATM 2026</t>
  </si>
  <si>
    <t xml:space="preserve">https://www.atm.it/it/ViaggiaConNoi/Documents/TARIFFE%20ATM.pdf</t>
  </si>
  <si>
    <t xml:space="preserve">Olanda</t>
  </si>
  <si>
    <t xml:space="preserve">Retta statutaria 2026/27 (DUO)</t>
  </si>
  <si>
    <t xml:space="preserve">https://www.duo.nl/particulier/collegegeld.jsp</t>
  </si>
  <si>
    <t xml:space="preserve">Retta 2027/28 = 2.771 € (TU Delft / VU)</t>
  </si>
  <si>
    <t xml:space="preserve">https://www.tudelft.nl/en/education/study-programme-orientation/practical-matters/tuition-fee-finances</t>
  </si>
  <si>
    <t xml:space="preserve">Abolizione sconto 50% primo anno</t>
  </si>
  <si>
    <t xml:space="preserve">https://www.studiekeuze123.nl/halvering-collegegeld</t>
  </si>
  <si>
    <t xml:space="preserve">IBEB regolamento numerus fixus 2026/27</t>
  </si>
  <si>
    <t xml:space="preserve">https://www.eur.nl/en/media/2025-09-regulations-numerus-fixus-ibeb-2026-2027</t>
  </si>
  <si>
    <t xml:space="preserve">IBA ranking e lista d'attesa (RSM)</t>
  </si>
  <si>
    <t xml:space="preserve">https://admissions-support.rsm.nl/support/solutions/articles/80000880316-i-am-on-the-iba-waiting-list-what-are-my-chances-of-getting-an-offer-for-the-programme-</t>
  </si>
  <si>
    <t xml:space="preserve">BSc² facts &amp; figures</t>
  </si>
  <si>
    <t xml:space="preserve">https://www.eur.nl/en/bachelor/double-bachelor-bsc2-econometrics-and-economics/facts-figures</t>
  </si>
  <si>
    <t xml:space="preserve">EUR costo della vita</t>
  </si>
  <si>
    <t xml:space="preserve">https://www.eur.nl/en/education/practical-matters/orientation-arrival/costs-living-nl</t>
  </si>
  <si>
    <t xml:space="preserve">UvA EBE selezione e ranking 2026</t>
  </si>
  <si>
    <t xml:space="preserve">https://www.uva.nl/en/programmes/bachelors/economics--business-economics/application-and-admission/selection-procedure/update-ranking-numbers.html</t>
  </si>
  <si>
    <t xml:space="preserve">AUAS costo della vita</t>
  </si>
  <si>
    <t xml:space="preserve">https://www.amsterdamuas.com/study/international-admissions/financial-matters/cost-of-living</t>
  </si>
  <si>
    <t xml:space="preserve">Tuition e costo della vita</t>
  </si>
  <si>
    <t xml:space="preserve">https://www.tilburguniversity.edu/education/bachelors-programs/tuition-fees-and-monthly-cost-living</t>
  </si>
  <si>
    <t xml:space="preserve">Regolamento selezione numerus fixus 2026/27</t>
  </si>
  <si>
    <t xml:space="preserve">https://www.maastrichtuniversity.nl/file/regulations-selection-bachelor%E2%80%99s-programmes-numerus-fixus-2026-2027pdf</t>
  </si>
  <si>
    <t xml:space="preserve">Affitti NL</t>
  </si>
  <si>
    <t xml:space="preserve">Kamernet rapporto Q3 2025 / kamer.nl</t>
  </si>
  <si>
    <t xml:space="preserve">https://kamernet.nl/tips/verhuurders/huurprijs/verhuurrapportage-q3-2025</t>
  </si>
  <si>
    <t xml:space="preserve">Sciences Po</t>
  </si>
  <si>
    <t xml:space="preserve">Droits de scolarité (max 14.900 €)</t>
  </si>
  <si>
    <t xml:space="preserve">https://www.sciencespo.fr/en/admissions-and-financial-aid/tuition-fees/</t>
  </si>
  <si>
    <t xml:space="preserve">Procedure di ammissione</t>
  </si>
  <si>
    <t xml:space="preserve">https://www.sciencespo.fr/college/en/admission-procedures/</t>
  </si>
  <si>
    <t xml:space="preserve">Sciences Po × ESCP</t>
  </si>
  <si>
    <t xml:space="preserve">Dual bachelor PEM (dal 2027)</t>
  </si>
  <si>
    <t xml:space="preserve">https://escp.eu/news/escp-sciences-po-announce-new-dual-degree-bachelor</t>
  </si>
  <si>
    <t xml:space="preserve">ESCP</t>
  </si>
  <si>
    <t xml:space="preserve">Bachelor in Management — fees 2027</t>
  </si>
  <si>
    <t xml:space="preserve">https://escp.eu/programmes/bachelor-in-management-BSc</t>
  </si>
  <si>
    <t xml:space="preserve">Forward College</t>
  </si>
  <si>
    <t xml:space="preserve">Tuition &amp; living costs 2027/28</t>
  </si>
  <si>
    <t xml:space="preserve">https://forward-college.eu/tuition-feesand-living-costs/</t>
  </si>
  <si>
    <t xml:space="preserve">LocService affitti studenti</t>
  </si>
  <si>
    <t xml:space="preserve">https://www.locservice.fr/paris-75/logement-etudiant-paris.html</t>
  </si>
  <si>
    <t xml:space="preserve">IE University</t>
  </si>
  <si>
    <t xml:space="preserve">Payment methods / fees 2026/27</t>
  </si>
  <si>
    <t xml:space="preserve">https://www.ie.edu/university/admission/payment-methods/</t>
  </si>
  <si>
    <t xml:space="preserve">Cost of living Madrid</t>
  </si>
  <si>
    <t xml:space="preserve">https://docs.ie.edu/student-services/IEU_COST_OF_LIVING_MADRID.pdf</t>
  </si>
  <si>
    <t xml:space="preserve">ESADE</t>
  </si>
  <si>
    <t xml:space="preserve">Tuition fees 2027/28</t>
  </si>
  <si>
    <t xml:space="preserve">https://www.esade.edu/bachelor/en/degrees/tuition-fees</t>
  </si>
  <si>
    <t xml:space="preserve">UC3M</t>
  </si>
  <si>
    <t xml:space="preserve">Prezzi matricola</t>
  </si>
  <si>
    <t xml:space="preserve">https://www.uc3m.es/grado/admision/solicitud/matricula/precios-matricula</t>
  </si>
  <si>
    <t xml:space="preserve">UPF</t>
  </si>
  <si>
    <t xml:space="preserve">Preus / notes de tall</t>
  </si>
  <si>
    <t xml:space="preserve">https://www.upf.edu/web/graus/preus</t>
  </si>
  <si>
    <t xml:space="preserve">Spagna</t>
  </si>
  <si>
    <t xml:space="preserve">Idealista affitti camere Q2 2026</t>
  </si>
  <si>
    <t xml:space="preserve">https://www.idealista.com/news/inmobiliario/vivienda/2026/04/09/892181-la-oferta-de-habitaciones-crece-un-22-y-el-precio-solo-aumenta-un-2-en-el-primer</t>
  </si>
  <si>
    <t xml:space="preserve">Conversione nota de admisión (BOE 2025)</t>
  </si>
  <si>
    <t xml:space="preserve">https://www.boe.es/buscar/doc.php?id=BOE-A-2025-10777</t>
  </si>
  <si>
    <t xml:space="preserve">CBS</t>
  </si>
  <si>
    <t xml:space="preserve">International applicants (no tuition UE)</t>
  </si>
  <si>
    <t xml:space="preserve">https://cbs.dk/en/study/bachelor/admission/how-to-apply/international-applicants</t>
  </si>
  <si>
    <t xml:space="preserve">BSc International Business (kvote 11,1)</t>
  </si>
  <si>
    <t xml:space="preserve">https://www.cbs.dk/en/study-programmes/bachelor-programmes/bsc-international-business</t>
  </si>
  <si>
    <t xml:space="preserve">Affitti medi (Comune)</t>
  </si>
  <si>
    <t xml:space="preserve">https://international.kk.dk/live/housing/finding-a-place-to-live/average-renting-costs</t>
  </si>
  <si>
    <t xml:space="preserve">Danimarca</t>
  </si>
  <si>
    <t xml:space="preserve">SU per studenti UE che lavorano</t>
  </si>
  <si>
    <t xml:space="preserve">https://www.su.dk/foreign-citizen/gb-foreign-citizen/eu-rules/you-work-in-denmark</t>
  </si>
  <si>
    <t xml:space="preserve">UCD</t>
  </si>
  <si>
    <t xml:space="preserve">Fees 2026/27 e Student Contribution</t>
  </si>
  <si>
    <t xml:space="preserve">https://www.ucd.ie/students/fees/eucoursefees/euundergraduatefees202627/</t>
  </si>
  <si>
    <t xml:space="preserve">Living costs / residenze 2026/27</t>
  </si>
  <si>
    <t xml:space="preserve">https://www.ucd.ie/global/study-at-ucd/scholarshipsfinances/livingcosts/</t>
  </si>
  <si>
    <t xml:space="preserve">Punti CAO 2026</t>
  </si>
  <si>
    <t xml:space="preserve">https://www.ucd.ie/myucd/t4media/LC_Points_2026.pdf</t>
  </si>
  <si>
    <t xml:space="preserve">Trinity</t>
  </si>
  <si>
    <t xml:space="preserve">Fees e levies</t>
  </si>
  <si>
    <t xml:space="preserve">https://www.tcd.ie/courses/undergraduate/fees/</t>
  </si>
  <si>
    <t xml:space="preserve">Punti CAO 2025 e tabella maturità</t>
  </si>
  <si>
    <t xml:space="preserve">https://www.tcd.ie/study/assets/pdfs/2025-cao-minimum-entry-points-final.pdf</t>
  </si>
  <si>
    <t xml:space="preserve">CAO</t>
  </si>
  <si>
    <t xml:space="preserve">Linee guida conversione diplomi UE 2025</t>
  </si>
  <si>
    <t xml:space="preserve">https://www2.cao.ie/downloads/documents/2025/Guidelines-EU-EFTA-UK-2025.pdf</t>
  </si>
  <si>
    <t xml:space="preserve">Daft rental report Q1 2026</t>
  </si>
  <si>
    <t xml:space="preserve">https://www.rte.ie/documents/news/2026/05/daft.ie-rental-report-2026q1.pdf</t>
  </si>
  <si>
    <t xml:space="preserve">Irlanda</t>
  </si>
  <si>
    <t xml:space="preserve">Budget 2027: nessun taglio universale</t>
  </si>
  <si>
    <t xml:space="preserve">https://www.irishtimes.com/politics/2026/10/04/prospect-of-a-250-cut-to-student-contribution-fees-recedes-ahead-of-budget-2027/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</si>
</sst>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€ &quot;#,##0;&quot;(€ &quot;#,##0\);\-"/>
    <numFmt numFmtId="167" formatCode="0.0%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88888"/>
      <rgbColor rgb="FFC0504D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Esborso atteso per anno accademico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Cumulativo!A6</c:f>
              <c:strCache>
                <c:ptCount val="1"/>
                <c:pt idx="0">
                  <c:v>Francesca — atteso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Cumulativo!$B$4:$G$4</c:f>
              <c:strCache>
                <c:ptCount val="6"/>
                <c:pt idx="0">
                  <c:v>2027/28</c:v>
                </c:pt>
                <c:pt idx="1">
                  <c:v>2028/29</c:v>
                </c:pt>
                <c:pt idx="2">
                  <c:v>2029/30</c:v>
                </c:pt>
                <c:pt idx="3">
                  <c:v>2030/31</c:v>
                </c:pt>
                <c:pt idx="4">
                  <c:v>2031/32</c:v>
                </c:pt>
                <c:pt idx="5">
                  <c:v>2032/33</c:v>
                </c:pt>
              </c:strCache>
            </c:strRef>
          </c:cat>
          <c:val>
            <c:numRef>
              <c:f>Cumulativo!$B$6:$G$6</c:f>
              <c:numCache>
                <c:formatCode>"€ "#,##0;"(€ "#,##0\);\-</c:formatCode>
                <c:ptCount val="6"/>
                <c:pt idx="0">
                  <c:v>30865.9868838244</c:v>
                </c:pt>
                <c:pt idx="1">
                  <c:v>31690.488752755</c:v>
                </c:pt>
                <c:pt idx="2">
                  <c:v>32615.2428285262</c:v>
                </c:pt>
                <c:pt idx="3">
                  <c:v>8593.15639549168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Cumulativo!A7</c:f>
              <c:strCache>
                <c:ptCount val="1"/>
                <c:pt idx="0">
                  <c:v>Marco — atteso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Cumulativo!$B$4:$G$4</c:f>
              <c:strCache>
                <c:ptCount val="6"/>
                <c:pt idx="0">
                  <c:v>2027/28</c:v>
                </c:pt>
                <c:pt idx="1">
                  <c:v>2028/29</c:v>
                </c:pt>
                <c:pt idx="2">
                  <c:v>2029/30</c:v>
                </c:pt>
                <c:pt idx="3">
                  <c:v>2030/31</c:v>
                </c:pt>
                <c:pt idx="4">
                  <c:v>2031/32</c:v>
                </c:pt>
                <c:pt idx="5">
                  <c:v>2032/33</c:v>
                </c:pt>
              </c:strCache>
            </c:strRef>
          </c:cat>
          <c:val>
            <c:numRef>
              <c:f>Cumulativo!$B$7:$G$7</c:f>
              <c:numCache>
                <c:formatCode>"€ "#,##0;"(€ "#,##0\);\-</c:formatCode>
                <c:ptCount val="6"/>
                <c:pt idx="0">
                  <c:v>0</c:v>
                </c:pt>
                <c:pt idx="1">
                  <c:v>32669.9362590387</c:v>
                </c:pt>
                <c:pt idx="2">
                  <c:v>33607.8242824356</c:v>
                </c:pt>
                <c:pt idx="3">
                  <c:v>34572.7936949251</c:v>
                </c:pt>
                <c:pt idx="4">
                  <c:v>10174.4059557466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Cumulativo!A8</c:f>
              <c:strCache>
                <c:ptCount val="1"/>
                <c:pt idx="0">
                  <c:v>Iacopo — atteso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Cumulativo!$B$4:$G$4</c:f>
              <c:strCache>
                <c:ptCount val="6"/>
                <c:pt idx="0">
                  <c:v>2027/28</c:v>
                </c:pt>
                <c:pt idx="1">
                  <c:v>2028/29</c:v>
                </c:pt>
                <c:pt idx="2">
                  <c:v>2029/30</c:v>
                </c:pt>
                <c:pt idx="3">
                  <c:v>2030/31</c:v>
                </c:pt>
                <c:pt idx="4">
                  <c:v>2031/32</c:v>
                </c:pt>
                <c:pt idx="5">
                  <c:v>2032/33</c:v>
                </c:pt>
              </c:strCache>
            </c:strRef>
          </c:cat>
          <c:val>
            <c:numRef>
              <c:f>Cumulativo!$B$8:$G$8</c:f>
              <c:numCache>
                <c:formatCode>"€ "#,##0;"(€ "#,##0\);\-</c:formatCode>
                <c:ptCount val="6"/>
                <c:pt idx="0">
                  <c:v>0</c:v>
                </c:pt>
                <c:pt idx="1">
                  <c:v>37958.2946501528</c:v>
                </c:pt>
                <c:pt idx="2">
                  <c:v>38363.8539131856</c:v>
                </c:pt>
                <c:pt idx="3">
                  <c:v>39501.6289290271</c:v>
                </c:pt>
                <c:pt idx="4">
                  <c:v>8105.62630333287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41689292"/>
        <c:axId val="1798151"/>
      </c:barChart>
      <c:catAx>
        <c:axId val="41689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a.a.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8151"/>
        <c:crosses val="autoZero"/>
        <c:auto val="1"/>
        <c:lblAlgn val="ctr"/>
        <c:lblOffset val="100"/>
        <c:noMultiLvlLbl val="0"/>
      </c:catAx>
      <c:valAx>
        <c:axId val="1798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€ &quot;#,##0;&quot;(€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89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160920</xdr:rowOff>
    </xdr:from>
    <xdr:to>
      <xdr:col>4</xdr:col>
      <xdr:colOff>276840</xdr:colOff>
      <xdr:row>56</xdr:row>
      <xdr:rowOff>162000</xdr:rowOff>
    </xdr:to>
    <xdr:graphicFrame>
      <xdr:nvGraphicFramePr>
        <xdr:cNvPr id="0" name="Chart 1"/>
        <xdr:cNvGraphicFramePr/>
      </xdr:nvGraphicFramePr>
      <xdr:xfrm>
        <a:off x="0" y="7620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unibocconi.it/it/entrare-bocconi/corsi-di-laurea-triennale-e-giurisprudenza/tasse-e-contributi" TargetMode="External"/><Relationship Id="rId2" Type="http://schemas.openxmlformats.org/officeDocument/2006/relationships/hyperlink" Target="https://www.unibocconi.it/it/entrare-bocconi/corsi-di-laurea-triennale-e-giurisprudenza/ammissione/ammissione" TargetMode="External"/><Relationship Id="rId3" Type="http://schemas.openxmlformats.org/officeDocument/2006/relationships/hyperlink" Target="https://studenticattolica.unicatt.it/2026-2027%20Normativa%20tasse%20primo%20anno%20di%20corso.pdf" TargetMode="External"/><Relationship Id="rId4" Type="http://schemas.openxmlformats.org/officeDocument/2006/relationships/hyperlink" Target="https://www.unimi.it/sites/default/files/regolamenti/Regolamento%20tasse%20e%20contributi%202026_2027_signed.pdf" TargetMode="External"/><Relationship Id="rId5" Type="http://schemas.openxmlformats.org/officeDocument/2006/relationships/hyperlink" Target="https://www.atm.it/it/ViaggiaConNoi/Documents/TARIFFE%20ATM.pdf" TargetMode="External"/><Relationship Id="rId6" Type="http://schemas.openxmlformats.org/officeDocument/2006/relationships/hyperlink" Target="https://www.duo.nl/particulier/collegegeld.jsp" TargetMode="External"/><Relationship Id="rId7" Type="http://schemas.openxmlformats.org/officeDocument/2006/relationships/hyperlink" Target="https://www.tudelft.nl/en/education/study-programme-orientation/practical-matters/tuition-fee-finances" TargetMode="External"/><Relationship Id="rId8" Type="http://schemas.openxmlformats.org/officeDocument/2006/relationships/hyperlink" Target="https://www.studiekeuze123.nl/halvering-collegegeld" TargetMode="External"/><Relationship Id="rId9" Type="http://schemas.openxmlformats.org/officeDocument/2006/relationships/hyperlink" Target="https://www.eur.nl/en/media/2025-09-regulations-numerus-fixus-ibeb-2026-2027" TargetMode="External"/><Relationship Id="rId10" Type="http://schemas.openxmlformats.org/officeDocument/2006/relationships/hyperlink" Target="https://admissions-support.rsm.nl/support/solutions/articles/80000880316-i-am-on-the-iba-waiting-list-what-are-my-chances-of-getting-an-offer-for-the-programme-" TargetMode="External"/><Relationship Id="rId11" Type="http://schemas.openxmlformats.org/officeDocument/2006/relationships/hyperlink" Target="https://www.eur.nl/en/bachelor/double-bachelor-bsc2-econometrics-and-economics/facts-figures" TargetMode="External"/><Relationship Id="rId12" Type="http://schemas.openxmlformats.org/officeDocument/2006/relationships/hyperlink" Target="https://www.eur.nl/en/education/practical-matters/orientation-arrival/costs-living-nl" TargetMode="External"/><Relationship Id="rId13" Type="http://schemas.openxmlformats.org/officeDocument/2006/relationships/hyperlink" Target="https://www.uva.nl/en/programmes/bachelors/economics--business-economics/application-and-admission/selection-procedure/update-ranking-numbers.html" TargetMode="External"/><Relationship Id="rId14" Type="http://schemas.openxmlformats.org/officeDocument/2006/relationships/hyperlink" Target="https://www.amsterdamuas.com/study/international-admissions/financial-matters/cost-of-living" TargetMode="External"/><Relationship Id="rId15" Type="http://schemas.openxmlformats.org/officeDocument/2006/relationships/hyperlink" Target="https://www.tilburguniversity.edu/education/bachelors-programs/tuition-fees-and-monthly-cost-living" TargetMode="External"/><Relationship Id="rId16" Type="http://schemas.openxmlformats.org/officeDocument/2006/relationships/hyperlink" Target="https://www.maastrichtuniversity.nl/file/regulations-selection-bachelor&#8217;s-programmes-numerus-fixus-2026-2027pdf" TargetMode="External"/><Relationship Id="rId17" Type="http://schemas.openxmlformats.org/officeDocument/2006/relationships/hyperlink" Target="https://kamernet.nl/tips/verhuurders/huurprijs/verhuurrapportage-q3-2025" TargetMode="External"/><Relationship Id="rId18" Type="http://schemas.openxmlformats.org/officeDocument/2006/relationships/hyperlink" Target="https://www.sciencespo.fr/en/admissions-and-financial-aid/tuition-fees/" TargetMode="External"/><Relationship Id="rId19" Type="http://schemas.openxmlformats.org/officeDocument/2006/relationships/hyperlink" Target="https://www.sciencespo.fr/college/en/admission-procedures/" TargetMode="External"/><Relationship Id="rId20" Type="http://schemas.openxmlformats.org/officeDocument/2006/relationships/hyperlink" Target="https://escp.eu/news/escp-sciences-po-announce-new-dual-degree-bachelor" TargetMode="External"/><Relationship Id="rId21" Type="http://schemas.openxmlformats.org/officeDocument/2006/relationships/hyperlink" Target="https://escp.eu/programmes/bachelor-in-management-BSc" TargetMode="External"/><Relationship Id="rId22" Type="http://schemas.openxmlformats.org/officeDocument/2006/relationships/hyperlink" Target="https://forward-college.eu/tuition-feesand-living-costs/" TargetMode="External"/><Relationship Id="rId23" Type="http://schemas.openxmlformats.org/officeDocument/2006/relationships/hyperlink" Target="https://www.locservice.fr/paris-75/logement-etudiant-paris.html" TargetMode="External"/><Relationship Id="rId24" Type="http://schemas.openxmlformats.org/officeDocument/2006/relationships/hyperlink" Target="https://www.ie.edu/university/admission/payment-methods/" TargetMode="External"/><Relationship Id="rId25" Type="http://schemas.openxmlformats.org/officeDocument/2006/relationships/hyperlink" Target="https://docs.ie.edu/student-services/IEU_COST_OF_LIVING_MADRID.pdf" TargetMode="External"/><Relationship Id="rId26" Type="http://schemas.openxmlformats.org/officeDocument/2006/relationships/hyperlink" Target="https://www.esade.edu/bachelor/en/degrees/tuition-fees" TargetMode="External"/><Relationship Id="rId27" Type="http://schemas.openxmlformats.org/officeDocument/2006/relationships/hyperlink" Target="https://www.uc3m.es/grado/admision/solicitud/matricula/precios-matricula" TargetMode="External"/><Relationship Id="rId28" Type="http://schemas.openxmlformats.org/officeDocument/2006/relationships/hyperlink" Target="https://www.upf.edu/web/graus/preus" TargetMode="External"/><Relationship Id="rId29" Type="http://schemas.openxmlformats.org/officeDocument/2006/relationships/hyperlink" Target="https://www.idealista.com/news/inmobiliario/vivienda/2026/04/09/892181-la-oferta-de-habitaciones-crece-un-22-y-el-precio-solo-aumenta-un-2-en-el-primer" TargetMode="External"/><Relationship Id="rId30" Type="http://schemas.openxmlformats.org/officeDocument/2006/relationships/hyperlink" Target="https://www.boe.es/buscar/doc.php?id=BOE-A-2025-10777" TargetMode="External"/><Relationship Id="rId31" Type="http://schemas.openxmlformats.org/officeDocument/2006/relationships/hyperlink" Target="https://cbs.dk/en/study/bachelor/admission/how-to-apply/international-applicants" TargetMode="External"/><Relationship Id="rId32" Type="http://schemas.openxmlformats.org/officeDocument/2006/relationships/hyperlink" Target="https://www.cbs.dk/en/study-programmes/bachelor-programmes/bsc-international-business" TargetMode="External"/><Relationship Id="rId33" Type="http://schemas.openxmlformats.org/officeDocument/2006/relationships/hyperlink" Target="https://international.kk.dk/live/housing/finding-a-place-to-live/average-renting-costs" TargetMode="External"/><Relationship Id="rId34" Type="http://schemas.openxmlformats.org/officeDocument/2006/relationships/hyperlink" Target="https://www.su.dk/foreign-citizen/gb-foreign-citizen/eu-rules/you-work-in-denmark" TargetMode="External"/><Relationship Id="rId35" Type="http://schemas.openxmlformats.org/officeDocument/2006/relationships/hyperlink" Target="https://www.ucd.ie/students/fees/eucoursefees/euundergraduatefees202627/" TargetMode="External"/><Relationship Id="rId36" Type="http://schemas.openxmlformats.org/officeDocument/2006/relationships/hyperlink" Target="https://www.ucd.ie/global/study-at-ucd/scholarshipsfinances/livingcosts/" TargetMode="External"/><Relationship Id="rId37" Type="http://schemas.openxmlformats.org/officeDocument/2006/relationships/hyperlink" Target="https://www.ucd.ie/myucd/t4media/LC_Points_2026.pdf" TargetMode="External"/><Relationship Id="rId38" Type="http://schemas.openxmlformats.org/officeDocument/2006/relationships/hyperlink" Target="https://www.tcd.ie/courses/undergraduate/fees/" TargetMode="External"/><Relationship Id="rId39" Type="http://schemas.openxmlformats.org/officeDocument/2006/relationships/hyperlink" Target="https://www.tcd.ie/study/assets/pdfs/2025-cao-minimum-entry-points-final.pdf" TargetMode="External"/><Relationship Id="rId40" Type="http://schemas.openxmlformats.org/officeDocument/2006/relationships/hyperlink" Target="https://www2.cao.ie/downloads/documents/2025/Guidelines-EU-EFTA-UK-2025.pdf" TargetMode="External"/><Relationship Id="rId41" Type="http://schemas.openxmlformats.org/officeDocument/2006/relationships/hyperlink" Target="https://www.rte.ie/documents/news/2026/05/daft.ie-rental-report-2026q1.pdf" TargetMode="External"/><Relationship Id="rId42" Type="http://schemas.openxmlformats.org/officeDocument/2006/relationships/hyperlink" Target="https://www.irishtimes.com/politics/2026/10/04/prospect-of-a-250-cut-to-student-contribution-fees-recedes-ahead-of-budget-202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35.0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35.0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35.05" hidden="false" customHeight="false" outlineLevel="0" collapsed="false">
      <c r="A16" s="2" t="s">
        <v>13</v>
      </c>
    </row>
    <row r="17" customFormat="false" ht="23.8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23.8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4" t="s">
        <v>18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19</v>
      </c>
      <c r="B2" s="5"/>
      <c r="C2" s="5"/>
      <c r="D2" s="5"/>
      <c r="E2" s="5"/>
      <c r="F2" s="5"/>
      <c r="G2" s="5"/>
      <c r="H2" s="5"/>
      <c r="I2" s="5"/>
    </row>
    <row r="3" customFormat="false" ht="15" hidden="false" customHeight="false" outlineLevel="0" collapsed="false">
      <c r="A3" s="5"/>
      <c r="B3" s="7" t="n">
        <v>2027</v>
      </c>
      <c r="C3" s="7" t="n">
        <v>2028</v>
      </c>
      <c r="D3" s="7" t="n">
        <v>2029</v>
      </c>
      <c r="E3" s="7" t="n">
        <v>2030</v>
      </c>
      <c r="F3" s="7" t="n">
        <v>2031</v>
      </c>
      <c r="G3" s="7" t="n">
        <v>2032</v>
      </c>
      <c r="H3" s="5"/>
      <c r="I3" s="5"/>
    </row>
    <row r="4" customFormat="false" ht="15" hidden="false" customHeight="fals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</row>
    <row r="5" customFormat="false" ht="15" hidden="false" customHeight="false" outlineLevel="0" collapsed="false">
      <c r="A5" s="9" t="s">
        <v>29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10" t="s">
        <v>30</v>
      </c>
      <c r="B6" s="11" t="n">
        <f aca="false">Francesca!T15</f>
        <v>30865.9868838244</v>
      </c>
      <c r="C6" s="11" t="n">
        <f aca="false">Francesca!U15</f>
        <v>31690.488752755</v>
      </c>
      <c r="D6" s="11" t="n">
        <f aca="false">Francesca!V15</f>
        <v>32615.2428285262</v>
      </c>
      <c r="E6" s="11" t="n">
        <f aca="false">Francesca!W15</f>
        <v>8593.15639549168</v>
      </c>
      <c r="F6" s="11" t="n">
        <f aca="false">Francesca!X15</f>
        <v>0</v>
      </c>
      <c r="G6" s="11" t="n">
        <f aca="false">Francesca!Y15</f>
        <v>0</v>
      </c>
      <c r="H6" s="12" t="n">
        <f aca="false">SUM(B6:G6)</f>
        <v>103764.874860597</v>
      </c>
      <c r="I6" s="10" t="s">
        <v>31</v>
      </c>
    </row>
    <row r="7" customFormat="false" ht="15" hidden="false" customHeight="false" outlineLevel="0" collapsed="false">
      <c r="A7" s="10" t="s">
        <v>32</v>
      </c>
      <c r="B7" s="11" t="n">
        <f aca="false">Marco!T13</f>
        <v>0</v>
      </c>
      <c r="C7" s="11" t="n">
        <f aca="false">Marco!U13</f>
        <v>32669.9362590387</v>
      </c>
      <c r="D7" s="11" t="n">
        <f aca="false">Marco!V13</f>
        <v>33607.8242824356</v>
      </c>
      <c r="E7" s="11" t="n">
        <f aca="false">Marco!W13</f>
        <v>34572.7936949251</v>
      </c>
      <c r="F7" s="11" t="n">
        <f aca="false">Marco!X13</f>
        <v>10174.4059557466</v>
      </c>
      <c r="G7" s="11" t="n">
        <f aca="false">Marco!Y13</f>
        <v>0</v>
      </c>
      <c r="H7" s="12" t="n">
        <f aca="false">SUM(B7:G7)</f>
        <v>111024.960192146</v>
      </c>
      <c r="I7" s="10"/>
    </row>
    <row r="8" customFormat="false" ht="15" hidden="false" customHeight="false" outlineLevel="0" collapsed="false">
      <c r="A8" s="10" t="s">
        <v>33</v>
      </c>
      <c r="B8" s="11" t="n">
        <f aca="false">Iacopo!T14</f>
        <v>0</v>
      </c>
      <c r="C8" s="11" t="n">
        <f aca="false">Iacopo!U14</f>
        <v>37958.2946501528</v>
      </c>
      <c r="D8" s="11" t="n">
        <f aca="false">Iacopo!V14</f>
        <v>38363.8539131856</v>
      </c>
      <c r="E8" s="11" t="n">
        <f aca="false">Iacopo!W14</f>
        <v>39501.6289290271</v>
      </c>
      <c r="F8" s="11" t="n">
        <f aca="false">Iacopo!X14</f>
        <v>8105.62630333287</v>
      </c>
      <c r="G8" s="11" t="n">
        <f aca="false">Iacopo!Y14</f>
        <v>0</v>
      </c>
      <c r="H8" s="12" t="n">
        <f aca="false">SUM(B8:G8)</f>
        <v>123929.403795698</v>
      </c>
      <c r="I8" s="10"/>
    </row>
    <row r="9" customFormat="false" ht="15" hidden="false" customHeight="false" outlineLevel="0" collapsed="false">
      <c r="A9" s="13" t="s">
        <v>34</v>
      </c>
      <c r="B9" s="14" t="n">
        <f aca="false">SUM(B6:B8)</f>
        <v>30865.9868838244</v>
      </c>
      <c r="C9" s="14" t="n">
        <f aca="false">SUM(C6:C8)</f>
        <v>102318.719661947</v>
      </c>
      <c r="D9" s="14" t="n">
        <f aca="false">SUM(D6:D8)</f>
        <v>104586.921024147</v>
      </c>
      <c r="E9" s="14" t="n">
        <f aca="false">SUM(E6:E8)</f>
        <v>82667.5790194439</v>
      </c>
      <c r="F9" s="14" t="n">
        <f aca="false">SUM(F6:F8)</f>
        <v>18280.0322590794</v>
      </c>
      <c r="G9" s="14" t="n">
        <f aca="false">SUM(G6:G8)</f>
        <v>0</v>
      </c>
      <c r="H9" s="14" t="n">
        <f aca="false">SUM(B9:G9)</f>
        <v>338719.238848442</v>
      </c>
      <c r="I9" s="15"/>
    </row>
    <row r="10" customFormat="false" ht="15" hidden="false" customHeight="false" outlineLevel="0" collapsed="false">
      <c r="A10" s="13" t="s">
        <v>35</v>
      </c>
      <c r="B10" s="14" t="n">
        <f aca="false">SUM($B$9:B9)</f>
        <v>30865.9868838244</v>
      </c>
      <c r="C10" s="14" t="n">
        <f aca="false">SUM($B$9:C9)</f>
        <v>133184.706545771</v>
      </c>
      <c r="D10" s="14" t="n">
        <f aca="false">SUM($B$9:D9)</f>
        <v>237771.627569918</v>
      </c>
      <c r="E10" s="14" t="n">
        <f aca="false">SUM($B$9:E9)</f>
        <v>320439.206589362</v>
      </c>
      <c r="F10" s="14" t="n">
        <f aca="false">SUM($B$9:F9)</f>
        <v>338719.238848442</v>
      </c>
      <c r="G10" s="14" t="n">
        <f aca="false">SUM($B$9:G9)</f>
        <v>338719.238848442</v>
      </c>
      <c r="H10" s="15"/>
      <c r="I10" s="1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9" t="s">
        <v>36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10" t="s">
        <v>37</v>
      </c>
      <c r="B13" s="11" t="n">
        <f aca="false">Francesca!N17</f>
        <v>29551</v>
      </c>
      <c r="C13" s="11" t="n">
        <f aca="false">Francesca!O17</f>
        <v>30423.675</v>
      </c>
      <c r="D13" s="11" t="n">
        <f aca="false">Francesca!P17</f>
        <v>31322.183875</v>
      </c>
      <c r="E13" s="11" t="n">
        <f aca="false">Francesca!Q17</f>
        <v>11286.5525436563</v>
      </c>
      <c r="F13" s="11" t="n">
        <f aca="false">Francesca!R17</f>
        <v>0</v>
      </c>
      <c r="G13" s="11" t="n">
        <f aca="false">Francesca!S17</f>
        <v>0</v>
      </c>
      <c r="H13" s="12" t="n">
        <f aca="false">SUM(B13:G13)</f>
        <v>102583.411418656</v>
      </c>
      <c r="I13" s="10" t="str">
        <f aca="false">Francesca!C17</f>
        <v>Rotterdam EUR — IBEB</v>
      </c>
    </row>
    <row r="14" customFormat="false" ht="15" hidden="false" customHeight="false" outlineLevel="0" collapsed="false">
      <c r="A14" s="10" t="s">
        <v>38</v>
      </c>
      <c r="B14" s="11" t="n">
        <f aca="false">Marco!N15</f>
        <v>0</v>
      </c>
      <c r="C14" s="11" t="n">
        <f aca="false">Marco!O15</f>
        <v>30423.675</v>
      </c>
      <c r="D14" s="11" t="n">
        <f aca="false">Marco!P15</f>
        <v>31322.183875</v>
      </c>
      <c r="E14" s="11" t="n">
        <f aca="false">Marco!Q15</f>
        <v>32247.292981875</v>
      </c>
      <c r="F14" s="11" t="n">
        <f aca="false">Marco!R15</f>
        <v>0</v>
      </c>
      <c r="G14" s="11" t="n">
        <f aca="false">Marco!S15</f>
        <v>0</v>
      </c>
      <c r="H14" s="12" t="n">
        <f aca="false">SUM(B14:G14)</f>
        <v>93993.151856875</v>
      </c>
      <c r="I14" s="10" t="str">
        <f aca="false">Marco!C15</f>
        <v>Rotterdam RSM — IBA</v>
      </c>
    </row>
    <row r="15" customFormat="false" ht="15" hidden="false" customHeight="false" outlineLevel="0" collapsed="false">
      <c r="A15" s="10" t="s">
        <v>39</v>
      </c>
      <c r="B15" s="11" t="n">
        <f aca="false">Iacopo!N16</f>
        <v>0</v>
      </c>
      <c r="C15" s="11" t="n">
        <f aca="false">Iacopo!O16</f>
        <v>34667.275</v>
      </c>
      <c r="D15" s="11" t="n">
        <f aca="false">Iacopo!P16</f>
        <v>35693.091875</v>
      </c>
      <c r="E15" s="11" t="n">
        <f aca="false">Iacopo!Q16</f>
        <v>36749.328221875</v>
      </c>
      <c r="F15" s="11" t="n">
        <f aca="false">Iacopo!R16</f>
        <v>0</v>
      </c>
      <c r="G15" s="11" t="n">
        <f aca="false">Iacopo!S16</f>
        <v>0</v>
      </c>
      <c r="H15" s="12" t="n">
        <f aca="false">SUM(B15:G15)</f>
        <v>107109.695096875</v>
      </c>
      <c r="I15" s="10" t="str">
        <f aca="false">Iacopo!C16</f>
        <v>UvA Amsterdam — Economics &amp; Business Economics</v>
      </c>
    </row>
    <row r="16" customFormat="false" ht="15" hidden="false" customHeight="false" outlineLevel="0" collapsed="false">
      <c r="A16" s="13" t="s">
        <v>34</v>
      </c>
      <c r="B16" s="14" t="n">
        <f aca="false">SUM(B13:B15)</f>
        <v>29551</v>
      </c>
      <c r="C16" s="14" t="n">
        <f aca="false">SUM(C13:C15)</f>
        <v>95514.625</v>
      </c>
      <c r="D16" s="14" t="n">
        <f aca="false">SUM(D13:D15)</f>
        <v>98337.459625</v>
      </c>
      <c r="E16" s="14" t="n">
        <f aca="false">SUM(E13:E15)</f>
        <v>80283.1737474063</v>
      </c>
      <c r="F16" s="14" t="n">
        <f aca="false">SUM(F13:F15)</f>
        <v>0</v>
      </c>
      <c r="G16" s="14" t="n">
        <f aca="false">SUM(G13:G15)</f>
        <v>0</v>
      </c>
      <c r="H16" s="14" t="n">
        <f aca="false">SUM(B16:G16)</f>
        <v>303686.258372406</v>
      </c>
      <c r="I16" s="15"/>
    </row>
    <row r="17" customFormat="false" ht="15" hidden="false" customHeight="false" outlineLevel="0" collapsed="false">
      <c r="A17" s="13" t="s">
        <v>35</v>
      </c>
      <c r="B17" s="14" t="n">
        <f aca="false">SUM($B$16:B16)</f>
        <v>29551</v>
      </c>
      <c r="C17" s="14" t="n">
        <f aca="false">SUM($B$16:C16)</f>
        <v>125065.625</v>
      </c>
      <c r="D17" s="14" t="n">
        <f aca="false">SUM($B$16:D16)</f>
        <v>223403.084625</v>
      </c>
      <c r="E17" s="14" t="n">
        <f aca="false">SUM($B$16:E16)</f>
        <v>303686.258372406</v>
      </c>
      <c r="F17" s="14" t="n">
        <f aca="false">SUM($B$16:F16)</f>
        <v>303686.258372406</v>
      </c>
      <c r="G17" s="14" t="n">
        <f aca="false">SUM($B$16:G16)</f>
        <v>303686.258372406</v>
      </c>
      <c r="H17" s="15"/>
      <c r="I17" s="1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9" t="s">
        <v>40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10" t="s">
        <v>37</v>
      </c>
      <c r="B20" s="11" t="n">
        <f aca="false">Francesca!N18</f>
        <v>25220</v>
      </c>
      <c r="C20" s="11" t="n">
        <f aca="false">Francesca!O18</f>
        <v>25461.6</v>
      </c>
      <c r="D20" s="11" t="n">
        <f aca="false">Francesca!P18</f>
        <v>26225.448</v>
      </c>
      <c r="E20" s="11" t="n">
        <f aca="false">Francesca!Q18</f>
        <v>0</v>
      </c>
      <c r="F20" s="11" t="n">
        <f aca="false">Francesca!R18</f>
        <v>0</v>
      </c>
      <c r="G20" s="11" t="n">
        <f aca="false">Francesca!S18</f>
        <v>0</v>
      </c>
      <c r="H20" s="12" t="n">
        <f aca="false">SUM(B20:G20)</f>
        <v>76907.048</v>
      </c>
      <c r="I20" s="10" t="str">
        <f aca="false">Francesca!C18</f>
        <v>CBS Copenhagen — BSc (IB / BADM / BASM)</v>
      </c>
    </row>
    <row r="21" customFormat="false" ht="15" hidden="false" customHeight="false" outlineLevel="0" collapsed="false">
      <c r="A21" s="10" t="s">
        <v>38</v>
      </c>
      <c r="B21" s="11" t="n">
        <f aca="false">Marco!N16</f>
        <v>0</v>
      </c>
      <c r="C21" s="11" t="n">
        <f aca="false">Marco!O16</f>
        <v>20831.145</v>
      </c>
      <c r="D21" s="11" t="n">
        <f aca="false">Marco!P16</f>
        <v>21366.776225</v>
      </c>
      <c r="E21" s="11" t="n">
        <f aca="false">Marco!Q16</f>
        <v>21916.243808625</v>
      </c>
      <c r="F21" s="11" t="n">
        <f aca="false">Marco!R16</f>
        <v>0</v>
      </c>
      <c r="G21" s="11" t="n">
        <f aca="false">Marco!S16</f>
        <v>0</v>
      </c>
      <c r="H21" s="12" t="n">
        <f aca="false">SUM(B21:G21)</f>
        <v>64114.165033625</v>
      </c>
      <c r="I21" s="10" t="str">
        <f aca="false">Marco!C16</f>
        <v>Bocconi — CLEAM/Management/BIEM</v>
      </c>
    </row>
    <row r="22" customFormat="false" ht="15" hidden="false" customHeight="false" outlineLevel="0" collapsed="false">
      <c r="A22" s="10" t="s">
        <v>39</v>
      </c>
      <c r="B22" s="11" t="n">
        <f aca="false">Iacopo!N17</f>
        <v>0</v>
      </c>
      <c r="C22" s="11" t="n">
        <f aca="false">Iacopo!O17</f>
        <v>34667.275</v>
      </c>
      <c r="D22" s="11" t="n">
        <f aca="false">Iacopo!P17</f>
        <v>35693.091875</v>
      </c>
      <c r="E22" s="11" t="n">
        <f aca="false">Iacopo!Q17</f>
        <v>36749.328221875</v>
      </c>
      <c r="F22" s="11" t="n">
        <f aca="false">Iacopo!R17</f>
        <v>0</v>
      </c>
      <c r="G22" s="11" t="n">
        <f aca="false">Iacopo!S17</f>
        <v>0</v>
      </c>
      <c r="H22" s="12" t="n">
        <f aca="false">SUM(B22:G22)</f>
        <v>107109.695096875</v>
      </c>
      <c r="I22" s="10" t="str">
        <f aca="false">Iacopo!C17</f>
        <v>UvA Amsterdam — Economics &amp; Business Economics</v>
      </c>
    </row>
    <row r="23" customFormat="false" ht="15" hidden="false" customHeight="false" outlineLevel="0" collapsed="false">
      <c r="A23" s="13" t="s">
        <v>34</v>
      </c>
      <c r="B23" s="14" t="n">
        <f aca="false">SUM(B20:B22)</f>
        <v>25220</v>
      </c>
      <c r="C23" s="14" t="n">
        <f aca="false">SUM(C20:C22)</f>
        <v>80960.02</v>
      </c>
      <c r="D23" s="14" t="n">
        <f aca="false">SUM(D20:D22)</f>
        <v>83285.3161</v>
      </c>
      <c r="E23" s="14" t="n">
        <f aca="false">SUM(E20:E22)</f>
        <v>58665.5720305</v>
      </c>
      <c r="F23" s="14" t="n">
        <f aca="false">SUM(F20:F22)</f>
        <v>0</v>
      </c>
      <c r="G23" s="14" t="n">
        <f aca="false">SUM(G20:G22)</f>
        <v>0</v>
      </c>
      <c r="H23" s="14" t="n">
        <f aca="false">SUM(B23:G23)</f>
        <v>248130.9081305</v>
      </c>
      <c r="I23" s="15"/>
    </row>
    <row r="24" customFormat="false" ht="15" hidden="false" customHeight="false" outlineLevel="0" collapsed="false">
      <c r="A24" s="13" t="s">
        <v>35</v>
      </c>
      <c r="B24" s="14" t="n">
        <f aca="false">SUM($B$23:B23)</f>
        <v>25220</v>
      </c>
      <c r="C24" s="14" t="n">
        <f aca="false">SUM($B$23:C23)</f>
        <v>106180.02</v>
      </c>
      <c r="D24" s="14" t="n">
        <f aca="false">SUM($B$23:D23)</f>
        <v>189465.3361</v>
      </c>
      <c r="E24" s="14" t="n">
        <f aca="false">SUM($B$23:E23)</f>
        <v>248130.9081305</v>
      </c>
      <c r="F24" s="14" t="n">
        <f aca="false">SUM($B$23:F23)</f>
        <v>248130.9081305</v>
      </c>
      <c r="G24" s="14" t="n">
        <f aca="false">SUM($B$23:G23)</f>
        <v>248130.9081305</v>
      </c>
      <c r="H24" s="15"/>
      <c r="I24" s="1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9" t="s">
        <v>41</v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10" t="s">
        <v>37</v>
      </c>
      <c r="B27" s="11" t="n">
        <f aca="false">Francesca!N19</f>
        <v>39992.5</v>
      </c>
      <c r="C27" s="11" t="n">
        <f aca="false">Francesca!O19</f>
        <v>41115.9125</v>
      </c>
      <c r="D27" s="11" t="n">
        <f aca="false">Francesca!P19</f>
        <v>42271.1183125</v>
      </c>
      <c r="E27" s="11" t="n">
        <f aca="false">Francesca!Q19</f>
        <v>0</v>
      </c>
      <c r="F27" s="11" t="n">
        <f aca="false">Francesca!R19</f>
        <v>0</v>
      </c>
      <c r="G27" s="11" t="n">
        <f aca="false">Francesca!S19</f>
        <v>0</v>
      </c>
      <c r="H27" s="12" t="n">
        <f aca="false">SUM(B27:G27)</f>
        <v>123379.5308125</v>
      </c>
      <c r="I27" s="10" t="str">
        <f aca="false">Francesca!C19</f>
        <v>Sciences Po — Bachelor Collège universitaire</v>
      </c>
    </row>
    <row r="28" customFormat="false" ht="15" hidden="false" customHeight="false" outlineLevel="0" collapsed="false">
      <c r="A28" s="10" t="s">
        <v>38</v>
      </c>
      <c r="B28" s="11" t="n">
        <f aca="false">Marco!N17</f>
        <v>0</v>
      </c>
      <c r="C28" s="11" t="n">
        <f aca="false">Marco!O17</f>
        <v>50476.8</v>
      </c>
      <c r="D28" s="11" t="n">
        <f aca="false">Marco!P17</f>
        <v>51881.9415</v>
      </c>
      <c r="E28" s="11" t="n">
        <f aca="false">Marco!Q17</f>
        <v>53326.5081825</v>
      </c>
      <c r="F28" s="11" t="n">
        <f aca="false">Marco!R17</f>
        <v>54811.6145764125</v>
      </c>
      <c r="G28" s="11" t="n">
        <f aca="false">Marco!S17</f>
        <v>0</v>
      </c>
      <c r="H28" s="12" t="n">
        <f aca="false">SUM(B28:G28)</f>
        <v>210496.864258913</v>
      </c>
      <c r="I28" s="10" t="str">
        <f aca="false">Marco!C17</f>
        <v>ESADE Barcellona — BBA / GGELO</v>
      </c>
    </row>
    <row r="29" customFormat="false" ht="15" hidden="false" customHeight="false" outlineLevel="0" collapsed="false">
      <c r="A29" s="10" t="s">
        <v>39</v>
      </c>
      <c r="B29" s="11" t="n">
        <f aca="false">Iacopo!N18</f>
        <v>0</v>
      </c>
      <c r="C29" s="11" t="n">
        <f aca="false">Iacopo!O18</f>
        <v>64639.789</v>
      </c>
      <c r="D29" s="11" t="n">
        <f aca="false">Iacopo!P18</f>
        <v>60007.776281</v>
      </c>
      <c r="E29" s="11" t="n">
        <f aca="false">Iacopo!Q18</f>
        <v>61776.412695149</v>
      </c>
      <c r="F29" s="11" t="n">
        <f aca="false">Iacopo!R18</f>
        <v>63597.1918923683</v>
      </c>
      <c r="G29" s="11" t="n">
        <f aca="false">Iacopo!S18</f>
        <v>0</v>
      </c>
      <c r="H29" s="12" t="n">
        <f aca="false">SUM(B29:G29)</f>
        <v>250021.169868517</v>
      </c>
      <c r="I29" s="10" t="str">
        <f aca="false">Iacopo!C18</f>
        <v>IE University Madrid — BBA</v>
      </c>
    </row>
    <row r="30" customFormat="false" ht="15" hidden="false" customHeight="false" outlineLevel="0" collapsed="false">
      <c r="A30" s="13" t="s">
        <v>34</v>
      </c>
      <c r="B30" s="14" t="n">
        <f aca="false">SUM(B27:B29)</f>
        <v>39992.5</v>
      </c>
      <c r="C30" s="14" t="n">
        <f aca="false">SUM(C27:C29)</f>
        <v>156232.5015</v>
      </c>
      <c r="D30" s="14" t="n">
        <f aca="false">SUM(D27:D29)</f>
        <v>154160.8360935</v>
      </c>
      <c r="E30" s="14" t="n">
        <f aca="false">SUM(E27:E29)</f>
        <v>115102.920877649</v>
      </c>
      <c r="F30" s="14" t="n">
        <f aca="false">SUM(F27:F29)</f>
        <v>118408.806468781</v>
      </c>
      <c r="G30" s="14" t="n">
        <f aca="false">SUM(G27:G29)</f>
        <v>0</v>
      </c>
      <c r="H30" s="14" t="n">
        <f aca="false">SUM(B30:G30)</f>
        <v>583897.56493993</v>
      </c>
      <c r="I30" s="15"/>
    </row>
    <row r="31" customFormat="false" ht="15" hidden="false" customHeight="false" outlineLevel="0" collapsed="false">
      <c r="A31" s="13" t="s">
        <v>35</v>
      </c>
      <c r="B31" s="14" t="n">
        <f aca="false">SUM($B$30:B30)</f>
        <v>39992.5</v>
      </c>
      <c r="C31" s="14" t="n">
        <f aca="false">SUM($B$30:C30)</f>
        <v>196225.0015</v>
      </c>
      <c r="D31" s="14" t="n">
        <f aca="false">SUM($B$30:D30)</f>
        <v>350385.8375935</v>
      </c>
      <c r="E31" s="14" t="n">
        <f aca="false">SUM($B$30:E30)</f>
        <v>465488.758471149</v>
      </c>
      <c r="F31" s="14" t="n">
        <f aca="false">SUM($B$30:F30)</f>
        <v>583897.56493993</v>
      </c>
      <c r="G31" s="14" t="n">
        <f aca="false">SUM($B$30:G30)</f>
        <v>583897.56493993</v>
      </c>
      <c r="H31" s="15"/>
      <c r="I31" s="1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9" t="s">
        <v>42</v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13" t="s">
        <v>43</v>
      </c>
      <c r="B34" s="15"/>
      <c r="C34" s="15"/>
      <c r="D34" s="15"/>
      <c r="E34" s="15"/>
      <c r="F34" s="15"/>
      <c r="G34" s="15"/>
      <c r="H34" s="14" t="n">
        <f aca="false">H9</f>
        <v>338719.238848442</v>
      </c>
      <c r="I34" s="15"/>
    </row>
    <row r="35" customFormat="false" ht="15" hidden="false" customHeight="false" outlineLevel="0" collapsed="false">
      <c r="A35" s="13" t="s">
        <v>44</v>
      </c>
      <c r="B35" s="15"/>
      <c r="C35" s="15"/>
      <c r="D35" s="15"/>
      <c r="E35" s="15"/>
      <c r="F35" s="15"/>
      <c r="G35" s="15"/>
      <c r="H35" s="14" t="n">
        <f aca="false">H16</f>
        <v>303686.258372406</v>
      </c>
      <c r="I35" s="15"/>
    </row>
    <row r="36" customFormat="false" ht="15" hidden="false" customHeight="false" outlineLevel="0" collapsed="false">
      <c r="A36" s="13" t="s">
        <v>45</v>
      </c>
      <c r="B36" s="15"/>
      <c r="C36" s="15"/>
      <c r="D36" s="15"/>
      <c r="E36" s="15"/>
      <c r="F36" s="15"/>
      <c r="G36" s="15"/>
      <c r="H36" s="14" t="n">
        <f aca="false">H23</f>
        <v>248130.9081305</v>
      </c>
      <c r="I36" s="15"/>
    </row>
    <row r="37" customFormat="false" ht="15" hidden="false" customHeight="false" outlineLevel="0" collapsed="false">
      <c r="A37" s="13" t="s">
        <v>46</v>
      </c>
      <c r="B37" s="15"/>
      <c r="C37" s="15"/>
      <c r="D37" s="15"/>
      <c r="E37" s="15"/>
      <c r="F37" s="15"/>
      <c r="G37" s="15"/>
      <c r="H37" s="14" t="n">
        <f aca="false">H30</f>
        <v>583897.56493993</v>
      </c>
      <c r="I37" s="1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</row>
    <row r="39" customFormat="false" ht="15" hidden="false" customHeight="false" outlineLevel="0" collapsed="false">
      <c r="A39" s="6" t="s">
        <v>47</v>
      </c>
      <c r="B39" s="5"/>
      <c r="C39" s="5"/>
      <c r="D39" s="5"/>
      <c r="E39" s="5"/>
      <c r="F39" s="5"/>
      <c r="G39" s="5"/>
      <c r="H39" s="5"/>
      <c r="I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4" t="s">
        <v>48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8" t="s">
        <v>49</v>
      </c>
      <c r="B3" s="8" t="s">
        <v>50</v>
      </c>
      <c r="C3" s="8"/>
      <c r="D3" s="8" t="s">
        <v>28</v>
      </c>
      <c r="E3" s="5"/>
      <c r="F3" s="5"/>
      <c r="G3" s="5"/>
      <c r="H3" s="5"/>
    </row>
    <row r="4" customFormat="false" ht="15" hidden="false" customHeight="false" outlineLevel="0" collapsed="false">
      <c r="A4" s="10" t="s">
        <v>51</v>
      </c>
      <c r="B4" s="16" t="n">
        <v>0.025</v>
      </c>
      <c r="C4" s="17"/>
      <c r="D4" s="10" t="s">
        <v>52</v>
      </c>
      <c r="E4" s="5"/>
      <c r="F4" s="5"/>
      <c r="G4" s="5"/>
      <c r="H4" s="5"/>
    </row>
    <row r="5" customFormat="false" ht="15" hidden="false" customHeight="false" outlineLevel="0" collapsed="false">
      <c r="A5" s="10" t="s">
        <v>53</v>
      </c>
      <c r="B5" s="16" t="n">
        <v>0.03</v>
      </c>
      <c r="C5" s="17"/>
      <c r="D5" s="10" t="s">
        <v>54</v>
      </c>
      <c r="E5" s="5"/>
      <c r="F5" s="5"/>
      <c r="G5" s="5"/>
      <c r="H5" s="5"/>
    </row>
    <row r="6" customFormat="false" ht="15" hidden="false" customHeight="false" outlineLevel="0" collapsed="false">
      <c r="A6" s="10" t="s">
        <v>55</v>
      </c>
      <c r="B6" s="18" t="n">
        <v>2026</v>
      </c>
      <c r="C6" s="17"/>
      <c r="D6" s="10" t="s">
        <v>56</v>
      </c>
      <c r="E6" s="5"/>
      <c r="F6" s="5"/>
      <c r="G6" s="5"/>
      <c r="H6" s="5"/>
    </row>
    <row r="7" customFormat="false" ht="15" hidden="false" customHeight="false" outlineLevel="0" collapsed="false">
      <c r="A7" s="10" t="s">
        <v>57</v>
      </c>
      <c r="B7" s="18" t="n">
        <v>2027</v>
      </c>
      <c r="C7" s="17"/>
      <c r="D7" s="10" t="s">
        <v>58</v>
      </c>
      <c r="E7" s="5"/>
      <c r="F7" s="5"/>
      <c r="G7" s="5"/>
      <c r="H7" s="5"/>
    </row>
    <row r="8" customFormat="false" ht="15" hidden="false" customHeight="false" outlineLevel="0" collapsed="false">
      <c r="A8" s="10" t="s">
        <v>59</v>
      </c>
      <c r="B8" s="18" t="n">
        <v>2028</v>
      </c>
      <c r="C8" s="17"/>
      <c r="D8" s="10" t="s">
        <v>60</v>
      </c>
      <c r="E8" s="5"/>
      <c r="F8" s="5"/>
      <c r="G8" s="5"/>
      <c r="H8" s="5"/>
    </row>
    <row r="9" customFormat="false" ht="15" hidden="false" customHeight="false" outlineLevel="0" collapsed="false">
      <c r="A9" s="10" t="s">
        <v>61</v>
      </c>
      <c r="B9" s="16" t="n">
        <v>0.35</v>
      </c>
      <c r="C9" s="17"/>
      <c r="D9" s="10" t="s">
        <v>62</v>
      </c>
      <c r="E9" s="5"/>
      <c r="F9" s="5"/>
      <c r="G9" s="5"/>
      <c r="H9" s="5"/>
    </row>
    <row r="10" customFormat="false" ht="15" hidden="false" customHeight="false" outlineLevel="0" collapsed="false">
      <c r="A10" s="10" t="s">
        <v>63</v>
      </c>
      <c r="B10" s="16" t="n">
        <v>0.05</v>
      </c>
      <c r="C10" s="17"/>
      <c r="D10" s="10" t="s">
        <v>64</v>
      </c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9" t="s">
        <v>65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8" t="s">
        <v>66</v>
      </c>
      <c r="B13" s="8" t="s">
        <v>67</v>
      </c>
      <c r="C13" s="8"/>
      <c r="D13" s="8"/>
      <c r="E13" s="8"/>
      <c r="F13" s="8"/>
      <c r="G13" s="8"/>
      <c r="H13" s="8" t="s">
        <v>68</v>
      </c>
    </row>
    <row r="14" customFormat="false" ht="23.85" hidden="false" customHeight="false" outlineLevel="0" collapsed="false">
      <c r="A14" s="10" t="s">
        <v>69</v>
      </c>
      <c r="B14" s="19" t="n">
        <v>2800</v>
      </c>
      <c r="C14" s="5"/>
      <c r="D14" s="5"/>
      <c r="E14" s="5"/>
      <c r="F14" s="5"/>
      <c r="G14" s="5"/>
      <c r="H14" s="20" t="s">
        <v>70</v>
      </c>
    </row>
    <row r="15" customFormat="false" ht="35.05" hidden="false" customHeight="false" outlineLevel="0" collapsed="false">
      <c r="A15" s="10" t="s">
        <v>71</v>
      </c>
      <c r="B15" s="19" t="n">
        <v>26000</v>
      </c>
      <c r="C15" s="5"/>
      <c r="D15" s="5"/>
      <c r="E15" s="5"/>
      <c r="F15" s="5"/>
      <c r="G15" s="5"/>
      <c r="H15" s="20" t="s">
        <v>72</v>
      </c>
    </row>
    <row r="16" customFormat="false" ht="35.05" hidden="false" customHeight="false" outlineLevel="0" collapsed="false">
      <c r="A16" s="10" t="s">
        <v>73</v>
      </c>
      <c r="B16" s="19" t="n">
        <v>30000</v>
      </c>
      <c r="C16" s="5"/>
      <c r="D16" s="5"/>
      <c r="E16" s="5"/>
      <c r="F16" s="5"/>
      <c r="G16" s="5"/>
      <c r="H16" s="20" t="s">
        <v>74</v>
      </c>
    </row>
    <row r="17" customFormat="false" ht="23.85" hidden="false" customHeight="false" outlineLevel="0" collapsed="false">
      <c r="A17" s="10" t="s">
        <v>75</v>
      </c>
      <c r="B17" s="19" t="n">
        <v>23000</v>
      </c>
      <c r="C17" s="5"/>
      <c r="D17" s="5"/>
      <c r="E17" s="5"/>
      <c r="F17" s="5"/>
      <c r="G17" s="5"/>
      <c r="H17" s="20" t="s">
        <v>76</v>
      </c>
    </row>
    <row r="18" customFormat="false" ht="23.85" hidden="false" customHeight="false" outlineLevel="0" collapsed="false">
      <c r="A18" s="10" t="s">
        <v>77</v>
      </c>
      <c r="B18" s="19" t="n">
        <v>23500</v>
      </c>
      <c r="C18" s="5"/>
      <c r="D18" s="5"/>
      <c r="E18" s="5"/>
      <c r="F18" s="5"/>
      <c r="G18" s="5"/>
      <c r="H18" s="20" t="s">
        <v>78</v>
      </c>
    </row>
    <row r="19" customFormat="false" ht="23.85" hidden="false" customHeight="false" outlineLevel="0" collapsed="false">
      <c r="A19" s="10" t="s">
        <v>79</v>
      </c>
      <c r="B19" s="19" t="n">
        <v>22500</v>
      </c>
      <c r="C19" s="5"/>
      <c r="D19" s="5"/>
      <c r="E19" s="5"/>
      <c r="F19" s="5"/>
      <c r="G19" s="5"/>
      <c r="H19" s="20" t="s">
        <v>80</v>
      </c>
    </row>
    <row r="20" customFormat="false" ht="35.05" hidden="false" customHeight="false" outlineLevel="0" collapsed="false">
      <c r="A20" s="10" t="s">
        <v>81</v>
      </c>
      <c r="B20" s="19" t="n">
        <v>24000</v>
      </c>
      <c r="C20" s="5"/>
      <c r="D20" s="5"/>
      <c r="E20" s="5"/>
      <c r="F20" s="5"/>
      <c r="G20" s="5"/>
      <c r="H20" s="20" t="s">
        <v>82</v>
      </c>
    </row>
    <row r="21" customFormat="false" ht="23.85" hidden="false" customHeight="false" outlineLevel="0" collapsed="false">
      <c r="A21" s="10" t="s">
        <v>83</v>
      </c>
      <c r="B21" s="19" t="n">
        <v>16000</v>
      </c>
      <c r="C21" s="5"/>
      <c r="D21" s="5"/>
      <c r="E21" s="5"/>
      <c r="F21" s="5"/>
      <c r="G21" s="5"/>
      <c r="H21" s="20" t="s">
        <v>84</v>
      </c>
    </row>
    <row r="22" customFormat="false" ht="23.85" hidden="false" customHeight="false" outlineLevel="0" collapsed="false">
      <c r="A22" s="10" t="s">
        <v>85</v>
      </c>
      <c r="B22" s="19" t="n">
        <v>23000</v>
      </c>
      <c r="C22" s="5"/>
      <c r="D22" s="5"/>
      <c r="E22" s="5"/>
      <c r="F22" s="5"/>
      <c r="G22" s="5"/>
      <c r="H22" s="20" t="s">
        <v>86</v>
      </c>
    </row>
    <row r="23" customFormat="false" ht="23.85" hidden="false" customHeight="false" outlineLevel="0" collapsed="false">
      <c r="A23" s="10" t="s">
        <v>87</v>
      </c>
      <c r="B23" s="19" t="n">
        <v>21700</v>
      </c>
      <c r="C23" s="5"/>
      <c r="D23" s="5"/>
      <c r="E23" s="5"/>
      <c r="F23" s="5"/>
      <c r="G23" s="5"/>
      <c r="H23" s="20" t="s">
        <v>88</v>
      </c>
    </row>
    <row r="24" customFormat="false" ht="35.05" hidden="false" customHeight="false" outlineLevel="0" collapsed="false">
      <c r="A24" s="10" t="s">
        <v>89</v>
      </c>
      <c r="B24" s="19" t="n">
        <v>26000</v>
      </c>
      <c r="C24" s="5"/>
      <c r="D24" s="5"/>
      <c r="E24" s="5"/>
      <c r="F24" s="5"/>
      <c r="G24" s="5"/>
      <c r="H24" s="20" t="s">
        <v>90</v>
      </c>
    </row>
    <row r="25" customFormat="false" ht="23.85" hidden="false" customHeight="false" outlineLevel="0" collapsed="false">
      <c r="A25" s="10" t="s">
        <v>91</v>
      </c>
      <c r="B25" s="19" t="n">
        <v>27000</v>
      </c>
      <c r="C25" s="5"/>
      <c r="D25" s="5"/>
      <c r="E25" s="5"/>
      <c r="F25" s="5"/>
      <c r="G25" s="5"/>
      <c r="H25" s="20" t="s">
        <v>92</v>
      </c>
    </row>
    <row r="26" customFormat="false" ht="35.05" hidden="false" customHeight="false" outlineLevel="0" collapsed="false">
      <c r="A26" s="10" t="s">
        <v>93</v>
      </c>
      <c r="B26" s="19" t="n">
        <v>24000</v>
      </c>
      <c r="C26" s="5"/>
      <c r="D26" s="5"/>
      <c r="E26" s="5"/>
      <c r="F26" s="5"/>
      <c r="G26" s="5"/>
      <c r="H26" s="20" t="s">
        <v>94</v>
      </c>
    </row>
    <row r="27" customFormat="false" ht="35.05" hidden="false" customHeight="false" outlineLevel="0" collapsed="false">
      <c r="A27" s="10" t="s">
        <v>95</v>
      </c>
      <c r="B27" s="19" t="n">
        <v>30000</v>
      </c>
      <c r="C27" s="5"/>
      <c r="D27" s="5"/>
      <c r="E27" s="5"/>
      <c r="F27" s="5"/>
      <c r="G27" s="5"/>
      <c r="H27" s="20" t="s">
        <v>96</v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9" t="s">
        <v>97</v>
      </c>
      <c r="B29" s="5"/>
      <c r="C29" s="5"/>
      <c r="D29" s="5"/>
      <c r="E29" s="5"/>
      <c r="F29" s="5"/>
      <c r="G29" s="5"/>
      <c r="H29" s="5"/>
    </row>
    <row r="30" customFormat="false" ht="23.85" hidden="false" customHeight="false" outlineLevel="0" collapsed="false">
      <c r="A30" s="21" t="s">
        <v>98</v>
      </c>
      <c r="B30" s="21" t="s">
        <v>99</v>
      </c>
      <c r="C30" s="21" t="s">
        <v>100</v>
      </c>
      <c r="D30" s="21" t="s">
        <v>101</v>
      </c>
      <c r="E30" s="21" t="s">
        <v>102</v>
      </c>
      <c r="F30" s="21" t="s">
        <v>103</v>
      </c>
      <c r="G30" s="21" t="s">
        <v>66</v>
      </c>
      <c r="H30" s="21" t="s">
        <v>104</v>
      </c>
    </row>
    <row r="31" customFormat="false" ht="23.85" hidden="false" customHeight="false" outlineLevel="0" collapsed="false">
      <c r="A31" s="10" t="s">
        <v>105</v>
      </c>
      <c r="B31" s="19" t="n">
        <v>17000</v>
      </c>
      <c r="C31" s="22" t="n">
        <v>2026</v>
      </c>
      <c r="D31" s="22" t="n">
        <v>3</v>
      </c>
      <c r="E31" s="23" t="n">
        <f aca="false">Parametri!$B$4</f>
        <v>0.025</v>
      </c>
      <c r="F31" s="24" t="n">
        <v>0</v>
      </c>
      <c r="G31" s="25" t="s">
        <v>69</v>
      </c>
      <c r="H31" s="20" t="s">
        <v>106</v>
      </c>
    </row>
    <row r="32" customFormat="false" ht="23.85" hidden="false" customHeight="false" outlineLevel="0" collapsed="false">
      <c r="A32" s="10" t="s">
        <v>107</v>
      </c>
      <c r="B32" s="19" t="n">
        <v>11500</v>
      </c>
      <c r="C32" s="22" t="n">
        <v>2026</v>
      </c>
      <c r="D32" s="22" t="n">
        <v>3</v>
      </c>
      <c r="E32" s="23" t="n">
        <f aca="false">Parametri!$B$4</f>
        <v>0.025</v>
      </c>
      <c r="F32" s="24" t="n">
        <v>0</v>
      </c>
      <c r="G32" s="25" t="s">
        <v>69</v>
      </c>
      <c r="H32" s="20" t="s">
        <v>108</v>
      </c>
    </row>
    <row r="33" customFormat="false" ht="23.85" hidden="false" customHeight="false" outlineLevel="0" collapsed="false">
      <c r="A33" s="10" t="s">
        <v>109</v>
      </c>
      <c r="B33" s="19" t="n">
        <v>3410</v>
      </c>
      <c r="C33" s="22" t="n">
        <v>2026</v>
      </c>
      <c r="D33" s="22" t="n">
        <v>3</v>
      </c>
      <c r="E33" s="23" t="n">
        <f aca="false">Parametri!$B$4</f>
        <v>0.025</v>
      </c>
      <c r="F33" s="24" t="n">
        <v>0</v>
      </c>
      <c r="G33" s="25" t="s">
        <v>69</v>
      </c>
      <c r="H33" s="20" t="s">
        <v>110</v>
      </c>
    </row>
    <row r="34" customFormat="false" ht="23.85" hidden="false" customHeight="false" outlineLevel="0" collapsed="false">
      <c r="A34" s="10" t="s">
        <v>111</v>
      </c>
      <c r="B34" s="19" t="n">
        <v>2771</v>
      </c>
      <c r="C34" s="22" t="n">
        <v>2027</v>
      </c>
      <c r="D34" s="22" t="n">
        <v>3</v>
      </c>
      <c r="E34" s="23" t="n">
        <f aca="false">Parametri!$B$4</f>
        <v>0.025</v>
      </c>
      <c r="F34" s="24" t="n">
        <v>0</v>
      </c>
      <c r="G34" s="25" t="s">
        <v>71</v>
      </c>
      <c r="H34" s="20" t="s">
        <v>112</v>
      </c>
    </row>
    <row r="35" customFormat="false" ht="23.85" hidden="false" customHeight="false" outlineLevel="0" collapsed="false">
      <c r="A35" s="10" t="s">
        <v>113</v>
      </c>
      <c r="B35" s="19" t="n">
        <v>2771</v>
      </c>
      <c r="C35" s="22" t="n">
        <v>2027</v>
      </c>
      <c r="D35" s="22" t="n">
        <v>4</v>
      </c>
      <c r="E35" s="23" t="n">
        <f aca="false">Parametri!$B$4</f>
        <v>0.025</v>
      </c>
      <c r="F35" s="24" t="n">
        <v>0</v>
      </c>
      <c r="G35" s="25" t="s">
        <v>71</v>
      </c>
      <c r="H35" s="20" t="s">
        <v>114</v>
      </c>
    </row>
    <row r="36" customFormat="false" ht="23.85" hidden="false" customHeight="false" outlineLevel="0" collapsed="false">
      <c r="A36" s="10" t="s">
        <v>115</v>
      </c>
      <c r="B36" s="19" t="n">
        <v>2771</v>
      </c>
      <c r="C36" s="22" t="n">
        <v>2027</v>
      </c>
      <c r="D36" s="22" t="n">
        <v>3</v>
      </c>
      <c r="E36" s="23" t="n">
        <f aca="false">Parametri!$B$4</f>
        <v>0.025</v>
      </c>
      <c r="F36" s="24" t="n">
        <v>0</v>
      </c>
      <c r="G36" s="25" t="s">
        <v>71</v>
      </c>
      <c r="H36" s="20" t="s">
        <v>116</v>
      </c>
    </row>
    <row r="37" customFormat="false" ht="23.85" hidden="false" customHeight="false" outlineLevel="0" collapsed="false">
      <c r="A37" s="10" t="s">
        <v>117</v>
      </c>
      <c r="B37" s="19" t="n">
        <v>2771</v>
      </c>
      <c r="C37" s="22" t="n">
        <v>2027</v>
      </c>
      <c r="D37" s="22" t="n">
        <v>3</v>
      </c>
      <c r="E37" s="23" t="n">
        <f aca="false">Parametri!$B$4</f>
        <v>0.025</v>
      </c>
      <c r="F37" s="24" t="n">
        <v>0</v>
      </c>
      <c r="G37" s="25" t="s">
        <v>73</v>
      </c>
      <c r="H37" s="20" t="s">
        <v>118</v>
      </c>
    </row>
    <row r="38" customFormat="false" ht="15" hidden="false" customHeight="false" outlineLevel="0" collapsed="false">
      <c r="A38" s="10" t="s">
        <v>119</v>
      </c>
      <c r="B38" s="19" t="n">
        <v>2771</v>
      </c>
      <c r="C38" s="22" t="n">
        <v>2027</v>
      </c>
      <c r="D38" s="22" t="n">
        <v>3</v>
      </c>
      <c r="E38" s="23" t="n">
        <f aca="false">Parametri!$B$4</f>
        <v>0.025</v>
      </c>
      <c r="F38" s="24" t="n">
        <v>0</v>
      </c>
      <c r="G38" s="25" t="s">
        <v>73</v>
      </c>
      <c r="H38" s="20" t="s">
        <v>120</v>
      </c>
    </row>
    <row r="39" customFormat="false" ht="15" hidden="false" customHeight="false" outlineLevel="0" collapsed="false">
      <c r="A39" s="10" t="s">
        <v>121</v>
      </c>
      <c r="B39" s="19" t="n">
        <v>2771</v>
      </c>
      <c r="C39" s="22" t="n">
        <v>2027</v>
      </c>
      <c r="D39" s="22" t="n">
        <v>3</v>
      </c>
      <c r="E39" s="23" t="n">
        <f aca="false">Parametri!$B$4</f>
        <v>0.025</v>
      </c>
      <c r="F39" s="24" t="n">
        <v>0</v>
      </c>
      <c r="G39" s="25" t="s">
        <v>75</v>
      </c>
      <c r="H39" s="20" t="s">
        <v>122</v>
      </c>
    </row>
    <row r="40" customFormat="false" ht="15" hidden="false" customHeight="false" outlineLevel="0" collapsed="false">
      <c r="A40" s="10" t="s">
        <v>123</v>
      </c>
      <c r="B40" s="19" t="n">
        <v>2771</v>
      </c>
      <c r="C40" s="22" t="n">
        <v>2027</v>
      </c>
      <c r="D40" s="22" t="n">
        <v>3</v>
      </c>
      <c r="E40" s="23" t="n">
        <f aca="false">Parametri!$B$4</f>
        <v>0.025</v>
      </c>
      <c r="F40" s="24" t="n">
        <v>0</v>
      </c>
      <c r="G40" s="25" t="s">
        <v>77</v>
      </c>
      <c r="H40" s="20" t="s">
        <v>124</v>
      </c>
    </row>
    <row r="41" customFormat="false" ht="15" hidden="false" customHeight="false" outlineLevel="0" collapsed="false">
      <c r="A41" s="10" t="s">
        <v>125</v>
      </c>
      <c r="B41" s="19" t="n">
        <v>2771</v>
      </c>
      <c r="C41" s="22" t="n">
        <v>2027</v>
      </c>
      <c r="D41" s="22" t="n">
        <v>3</v>
      </c>
      <c r="E41" s="23" t="n">
        <f aca="false">Parametri!$B$4</f>
        <v>0.025</v>
      </c>
      <c r="F41" s="24" t="n">
        <v>0</v>
      </c>
      <c r="G41" s="25" t="s">
        <v>77</v>
      </c>
      <c r="H41" s="20" t="s">
        <v>126</v>
      </c>
    </row>
    <row r="42" customFormat="false" ht="23.85" hidden="false" customHeight="false" outlineLevel="0" collapsed="false">
      <c r="A42" s="10" t="s">
        <v>127</v>
      </c>
      <c r="B42" s="19" t="n">
        <v>2771</v>
      </c>
      <c r="C42" s="22" t="n">
        <v>2027</v>
      </c>
      <c r="D42" s="22" t="n">
        <v>3</v>
      </c>
      <c r="E42" s="23" t="n">
        <f aca="false">Parametri!$B$4</f>
        <v>0.025</v>
      </c>
      <c r="F42" s="24" t="n">
        <v>1350</v>
      </c>
      <c r="G42" s="25" t="s">
        <v>79</v>
      </c>
      <c r="H42" s="20" t="s">
        <v>128</v>
      </c>
    </row>
    <row r="43" customFormat="false" ht="35.05" hidden="false" customHeight="false" outlineLevel="0" collapsed="false">
      <c r="A43" s="10" t="s">
        <v>129</v>
      </c>
      <c r="B43" s="19" t="n">
        <v>14900</v>
      </c>
      <c r="C43" s="22" t="n">
        <v>2026</v>
      </c>
      <c r="D43" s="22" t="n">
        <v>3</v>
      </c>
      <c r="E43" s="23" t="n">
        <f aca="false">Parametri!$B$4</f>
        <v>0.025</v>
      </c>
      <c r="F43" s="24" t="n">
        <v>0</v>
      </c>
      <c r="G43" s="25" t="s">
        <v>81</v>
      </c>
      <c r="H43" s="20" t="s">
        <v>130</v>
      </c>
    </row>
    <row r="44" customFormat="false" ht="23.85" hidden="false" customHeight="false" outlineLevel="0" collapsed="false">
      <c r="A44" s="10" t="s">
        <v>131</v>
      </c>
      <c r="B44" s="19" t="n">
        <v>20800</v>
      </c>
      <c r="C44" s="22" t="n">
        <v>2027</v>
      </c>
      <c r="D44" s="22" t="n">
        <v>3</v>
      </c>
      <c r="E44" s="23" t="n">
        <f aca="false">Parametri!$B$4</f>
        <v>0.025</v>
      </c>
      <c r="F44" s="24" t="n">
        <v>80</v>
      </c>
      <c r="G44" s="25" t="s">
        <v>85</v>
      </c>
      <c r="H44" s="20" t="s">
        <v>132</v>
      </c>
    </row>
    <row r="45" customFormat="false" ht="23.85" hidden="false" customHeight="false" outlineLevel="0" collapsed="false">
      <c r="A45" s="10" t="s">
        <v>133</v>
      </c>
      <c r="B45" s="19" t="n">
        <v>21850</v>
      </c>
      <c r="C45" s="22" t="n">
        <v>2027</v>
      </c>
      <c r="D45" s="22" t="n">
        <v>3</v>
      </c>
      <c r="E45" s="16" t="n">
        <v>0.05</v>
      </c>
      <c r="F45" s="24" t="n">
        <v>70</v>
      </c>
      <c r="G45" s="25" t="s">
        <v>87</v>
      </c>
      <c r="H45" s="20" t="s">
        <v>134</v>
      </c>
    </row>
    <row r="46" customFormat="false" ht="23.85" hidden="false" customHeight="false" outlineLevel="0" collapsed="false">
      <c r="A46" s="10" t="s">
        <v>135</v>
      </c>
      <c r="B46" s="19" t="n">
        <v>29000</v>
      </c>
      <c r="C46" s="22" t="n">
        <v>2026</v>
      </c>
      <c r="D46" s="22" t="n">
        <v>4</v>
      </c>
      <c r="E46" s="16" t="n">
        <v>0.029</v>
      </c>
      <c r="F46" s="24" t="n">
        <v>6350</v>
      </c>
      <c r="G46" s="25" t="s">
        <v>89</v>
      </c>
      <c r="H46" s="20" t="s">
        <v>136</v>
      </c>
    </row>
    <row r="47" customFormat="false" ht="23.85" hidden="false" customHeight="false" outlineLevel="0" collapsed="false">
      <c r="A47" s="10" t="s">
        <v>137</v>
      </c>
      <c r="B47" s="19" t="n">
        <v>21300</v>
      </c>
      <c r="C47" s="22" t="n">
        <v>2027</v>
      </c>
      <c r="D47" s="22" t="n">
        <v>4</v>
      </c>
      <c r="E47" s="23" t="n">
        <f aca="false">Parametri!$B$4</f>
        <v>0.025</v>
      </c>
      <c r="F47" s="24" t="n">
        <v>0</v>
      </c>
      <c r="G47" s="25" t="s">
        <v>91</v>
      </c>
      <c r="H47" s="20" t="s">
        <v>138</v>
      </c>
    </row>
    <row r="48" customFormat="false" ht="23.85" hidden="false" customHeight="false" outlineLevel="0" collapsed="false">
      <c r="A48" s="10" t="s">
        <v>139</v>
      </c>
      <c r="B48" s="19" t="n">
        <v>1045</v>
      </c>
      <c r="C48" s="22" t="n">
        <v>2026</v>
      </c>
      <c r="D48" s="22" t="n">
        <v>4</v>
      </c>
      <c r="E48" s="23" t="n">
        <f aca="false">Parametri!$B$4</f>
        <v>0.025</v>
      </c>
      <c r="F48" s="24" t="n">
        <v>250</v>
      </c>
      <c r="G48" s="25" t="s">
        <v>89</v>
      </c>
      <c r="H48" s="20" t="s">
        <v>140</v>
      </c>
    </row>
    <row r="49" customFormat="false" ht="15" hidden="false" customHeight="false" outlineLevel="0" collapsed="false">
      <c r="A49" s="10" t="s">
        <v>141</v>
      </c>
      <c r="B49" s="19" t="n">
        <v>1202</v>
      </c>
      <c r="C49" s="22" t="n">
        <v>2026</v>
      </c>
      <c r="D49" s="22" t="n">
        <v>4</v>
      </c>
      <c r="E49" s="23" t="n">
        <f aca="false">Parametri!$B$4</f>
        <v>0.025</v>
      </c>
      <c r="F49" s="24" t="n">
        <v>250</v>
      </c>
      <c r="G49" s="25" t="s">
        <v>91</v>
      </c>
      <c r="H49" s="20" t="s">
        <v>142</v>
      </c>
    </row>
    <row r="50" customFormat="false" ht="15" hidden="false" customHeight="false" outlineLevel="0" collapsed="false">
      <c r="A50" s="10" t="s">
        <v>143</v>
      </c>
      <c r="B50" s="19" t="n">
        <v>0</v>
      </c>
      <c r="C50" s="22" t="n">
        <v>2026</v>
      </c>
      <c r="D50" s="22" t="n">
        <v>3</v>
      </c>
      <c r="E50" s="23" t="n">
        <f aca="false">Parametri!$B$4</f>
        <v>0.025</v>
      </c>
      <c r="F50" s="24" t="n">
        <v>500</v>
      </c>
      <c r="G50" s="25" t="s">
        <v>93</v>
      </c>
      <c r="H50" s="20" t="s">
        <v>144</v>
      </c>
    </row>
    <row r="51" customFormat="false" ht="23.85" hidden="false" customHeight="false" outlineLevel="0" collapsed="false">
      <c r="A51" s="10" t="s">
        <v>145</v>
      </c>
      <c r="B51" s="19" t="n">
        <v>2754</v>
      </c>
      <c r="C51" s="22" t="n">
        <v>2026</v>
      </c>
      <c r="D51" s="22" t="n">
        <v>3</v>
      </c>
      <c r="E51" s="23" t="n">
        <f aca="false">Parametri!$B$4</f>
        <v>0.025</v>
      </c>
      <c r="F51" s="24" t="n">
        <v>0</v>
      </c>
      <c r="G51" s="25" t="s">
        <v>95</v>
      </c>
      <c r="H51" s="20" t="s">
        <v>146</v>
      </c>
    </row>
    <row r="52" customFormat="false" ht="23.85" hidden="false" customHeight="false" outlineLevel="0" collapsed="false">
      <c r="A52" s="10" t="s">
        <v>147</v>
      </c>
      <c r="B52" s="19" t="n">
        <v>2713</v>
      </c>
      <c r="C52" s="22" t="n">
        <v>2026</v>
      </c>
      <c r="D52" s="22" t="n">
        <v>4</v>
      </c>
      <c r="E52" s="23" t="n">
        <f aca="false">Parametri!$B$4</f>
        <v>0.025</v>
      </c>
      <c r="F52" s="24" t="n">
        <v>0</v>
      </c>
      <c r="G52" s="25" t="s">
        <v>95</v>
      </c>
      <c r="H52" s="20" t="s">
        <v>148</v>
      </c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</row>
    <row r="54" customFormat="false" ht="15" hidden="false" customHeight="false" outlineLevel="0" collapsed="false">
      <c r="A54" s="6" t="s">
        <v>149</v>
      </c>
      <c r="B54" s="5"/>
      <c r="C54" s="5"/>
      <c r="D54" s="5"/>
      <c r="E54" s="5"/>
      <c r="F54" s="5"/>
      <c r="G54" s="5"/>
      <c r="H5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25" min="14" style="0" width="12"/>
    <col collapsed="false" customWidth="true" hidden="false" outlineLevel="0" max="26" min="26" style="0" width="50"/>
  </cols>
  <sheetData>
    <row r="1" customFormat="false" ht="17.35" hidden="false" customHeight="false" outlineLevel="0" collapsed="false">
      <c r="A1" s="4" t="s">
        <v>150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" hidden="false" customHeight="false" outlineLevel="0" collapsed="false">
      <c r="A2" s="26" t="s">
        <v>151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6" t="s">
        <v>152</v>
      </c>
      <c r="B3" s="5"/>
      <c r="C3" s="5"/>
      <c r="D3" s="5"/>
      <c r="E3" s="5"/>
      <c r="F3" s="27" t="n">
        <f aca="false">Parametri!$B$7</f>
        <v>2027</v>
      </c>
      <c r="G3" s="6" t="s">
        <v>153</v>
      </c>
      <c r="H3" s="5"/>
      <c r="I3" s="5"/>
      <c r="J3" s="5"/>
      <c r="K3" s="5"/>
      <c r="L3" s="5"/>
      <c r="M3" s="5"/>
      <c r="N3" s="28" t="s">
        <v>154</v>
      </c>
      <c r="O3" s="5"/>
      <c r="P3" s="5"/>
      <c r="Q3" s="5"/>
      <c r="R3" s="5"/>
      <c r="S3" s="5"/>
      <c r="T3" s="28" t="s">
        <v>155</v>
      </c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 t="n">
        <v>2027</v>
      </c>
      <c r="O4" s="29" t="n">
        <v>2028</v>
      </c>
      <c r="P4" s="29" t="n">
        <v>2029</v>
      </c>
      <c r="Q4" s="29" t="n">
        <v>2030</v>
      </c>
      <c r="R4" s="29" t="n">
        <v>2031</v>
      </c>
      <c r="S4" s="29" t="n">
        <v>2032</v>
      </c>
      <c r="T4" s="29" t="n">
        <v>2027</v>
      </c>
      <c r="U4" s="29" t="n">
        <v>2028</v>
      </c>
      <c r="V4" s="29" t="n">
        <v>2029</v>
      </c>
      <c r="W4" s="29" t="n">
        <v>2030</v>
      </c>
      <c r="X4" s="29" t="n">
        <v>2031</v>
      </c>
      <c r="Y4" s="29" t="n">
        <v>2032</v>
      </c>
      <c r="Z4" s="5"/>
    </row>
    <row r="5" customFormat="false" ht="42" hidden="false" customHeight="true" outlineLevel="0" collapsed="false">
      <c r="A5" s="21" t="s">
        <v>156</v>
      </c>
      <c r="B5" s="21" t="s">
        <v>157</v>
      </c>
      <c r="C5" s="21" t="s">
        <v>66</v>
      </c>
      <c r="D5" s="21" t="s">
        <v>101</v>
      </c>
      <c r="E5" s="21" t="s">
        <v>158</v>
      </c>
      <c r="F5" s="21" t="s">
        <v>159</v>
      </c>
      <c r="G5" s="21" t="s">
        <v>160</v>
      </c>
      <c r="H5" s="21" t="s">
        <v>161</v>
      </c>
      <c r="I5" s="21" t="s">
        <v>162</v>
      </c>
      <c r="J5" s="21" t="s">
        <v>163</v>
      </c>
      <c r="K5" s="21" t="s">
        <v>164</v>
      </c>
      <c r="L5" s="21" t="s">
        <v>165</v>
      </c>
      <c r="M5" s="21" t="s">
        <v>166</v>
      </c>
      <c r="N5" s="21" t="s">
        <v>167</v>
      </c>
      <c r="O5" s="21" t="s">
        <v>168</v>
      </c>
      <c r="P5" s="21" t="s">
        <v>169</v>
      </c>
      <c r="Q5" s="21" t="s">
        <v>170</v>
      </c>
      <c r="R5" s="21" t="s">
        <v>171</v>
      </c>
      <c r="S5" s="21" t="s">
        <v>172</v>
      </c>
      <c r="T5" s="21" t="s">
        <v>173</v>
      </c>
      <c r="U5" s="21" t="s">
        <v>174</v>
      </c>
      <c r="V5" s="21" t="s">
        <v>175</v>
      </c>
      <c r="W5" s="21" t="s">
        <v>176</v>
      </c>
      <c r="X5" s="21" t="s">
        <v>177</v>
      </c>
      <c r="Y5" s="21" t="s">
        <v>178</v>
      </c>
      <c r="Z5" s="21" t="s">
        <v>179</v>
      </c>
    </row>
    <row r="6" customFormat="false" ht="35.05" hidden="false" customHeight="false" outlineLevel="0" collapsed="false">
      <c r="A6" s="10" t="n">
        <v>1</v>
      </c>
      <c r="B6" s="25" t="s">
        <v>129</v>
      </c>
      <c r="C6" s="30" t="str">
        <f aca="false">INDEX(Parametri!$G$31:$G$52,MATCH($B6,Parametri!$A$31:$A$52,0))</f>
        <v>Parigi</v>
      </c>
      <c r="D6" s="31" t="n">
        <f aca="false">INDEX(Parametri!$D$31:$D$52,MATCH($B6,Parametri!$A$31:$A$52,0))</f>
        <v>3</v>
      </c>
      <c r="E6" s="16" t="n">
        <v>0.15</v>
      </c>
      <c r="F6" s="23" t="n">
        <f aca="false">E6</f>
        <v>0.15</v>
      </c>
      <c r="G6" s="11" t="n">
        <f aca="false">INDEX(Parametri!$B$31:$B$52,MATCH($B6,Parametri!$A$31:$A$52,0))</f>
        <v>14900</v>
      </c>
      <c r="H6" s="32" t="n">
        <f aca="false">INDEX(Parametri!$C$31:$C$52,MATCH($B6,Parametri!$A$31:$A$52,0))</f>
        <v>2026</v>
      </c>
      <c r="I6" s="11" t="n">
        <f aca="false">INDEX(Parametri!$B$14:$B$27,MATCH($C6,Parametri!$A$14:$A$27,0))</f>
        <v>24000</v>
      </c>
      <c r="J6" s="11" t="n">
        <f aca="false">INDEX(Parametri!$F$31:$F$52,MATCH($B6,Parametri!$A$31:$A$52,0))</f>
        <v>0</v>
      </c>
      <c r="K6" s="12" t="n">
        <f aca="false">INDEX(N6:S6,MATCH($F$3,$N$4:$S$4,0))</f>
        <v>39992.5</v>
      </c>
      <c r="L6" s="12" t="n">
        <f aca="false">SUM(N6:S6)</f>
        <v>123379.5308125</v>
      </c>
      <c r="M6" s="12" t="n">
        <f aca="false">F6*L6</f>
        <v>18506.929621875</v>
      </c>
      <c r="N6" s="12" t="n">
        <f aca="false">IF(N$4&lt;$F$3,0,MAX(0,MIN(1,$D6-(N$4-$F$3+1)+1))*($G6*(1+INDEX(Parametri!$E$31:$E$52,MATCH($B6,Parametri!$A$31:$A$52,0)))^(N$4-$H6)+$I6*(1+Parametri!$B$5)^(N$4-Parametri!$B$6)+IF(N$4=$F$3,$J6,0)))</f>
        <v>39992.5</v>
      </c>
      <c r="O6" s="12" t="n">
        <f aca="false">IF(O$4&lt;$F$3,0,MAX(0,MIN(1,$D6-(O$4-$F$3+1)+1))*($G6*(1+INDEX(Parametri!$E$31:$E$52,MATCH($B6,Parametri!$A$31:$A$52,0)))^(O$4-$H6)+$I6*(1+Parametri!$B$5)^(O$4-Parametri!$B$6)+IF(O$4=$F$3,$J6,0)))</f>
        <v>41115.9125</v>
      </c>
      <c r="P6" s="12" t="n">
        <f aca="false">IF(P$4&lt;$F$3,0,MAX(0,MIN(1,$D6-(P$4-$F$3+1)+1))*($G6*(1+INDEX(Parametri!$E$31:$E$52,MATCH($B6,Parametri!$A$31:$A$52,0)))^(P$4-$H6)+$I6*(1+Parametri!$B$5)^(P$4-Parametri!$B$6)+IF(P$4=$F$3,$J6,0)))</f>
        <v>42271.1183125</v>
      </c>
      <c r="Q6" s="12" t="n">
        <f aca="false">IF(Q$4&lt;$F$3,0,MAX(0,MIN(1,$D6-(Q$4-$F$3+1)+1))*($G6*(1+INDEX(Parametri!$E$31:$E$52,MATCH($B6,Parametri!$A$31:$A$52,0)))^(Q$4-$H6)+$I6*(1+Parametri!$B$5)^(Q$4-Parametri!$B$6)+IF(Q$4=$F$3,$J6,0)))</f>
        <v>0</v>
      </c>
      <c r="R6" s="12" t="n">
        <f aca="false">IF(R$4&lt;$F$3,0,MAX(0,MIN(1,$D6-(R$4-$F$3+1)+1))*($G6*(1+INDEX(Parametri!$E$31:$E$52,MATCH($B6,Parametri!$A$31:$A$52,0)))^(R$4-$H6)+$I6*(1+Parametri!$B$5)^(R$4-Parametri!$B$6)+IF(R$4=$F$3,$J6,0)))</f>
        <v>0</v>
      </c>
      <c r="S6" s="12" t="n">
        <f aca="false">IF(S$4&lt;$F$3,0,MAX(0,MIN(1,$D6-(S$4-$F$3+1)+1))*($G6*(1+INDEX(Parametri!$E$31:$E$52,MATCH($B6,Parametri!$A$31:$A$52,0)))^(S$4-$H6)+$I6*(1+Parametri!$B$5)^(S$4-Parametri!$B$6)+IF(S$4=$F$3,$J6,0)))</f>
        <v>0</v>
      </c>
      <c r="T6" s="12" t="n">
        <f aca="false">$F6*N6</f>
        <v>5998.875</v>
      </c>
      <c r="U6" s="12" t="n">
        <f aca="false">$F6*O6</f>
        <v>6167.386875</v>
      </c>
      <c r="V6" s="12" t="n">
        <f aca="false">$F6*P6</f>
        <v>6340.667746875</v>
      </c>
      <c r="W6" s="12" t="n">
        <f aca="false">$F6*Q6</f>
        <v>0</v>
      </c>
      <c r="X6" s="12" t="n">
        <f aca="false">$F6*R6</f>
        <v>0</v>
      </c>
      <c r="Y6" s="12" t="n">
        <f aca="false">$F6*S6</f>
        <v>0</v>
      </c>
      <c r="Z6" s="20" t="s">
        <v>180</v>
      </c>
    </row>
    <row r="7" customFormat="false" ht="35.05" hidden="false" customHeight="false" outlineLevel="0" collapsed="false">
      <c r="A7" s="10" t="n">
        <v>2</v>
      </c>
      <c r="B7" s="25" t="s">
        <v>111</v>
      </c>
      <c r="C7" s="30" t="str">
        <f aca="false">INDEX(Parametri!$G$31:$G$52,MATCH($B7,Parametri!$A$31:$A$52,0))</f>
        <v>Rotterdam</v>
      </c>
      <c r="D7" s="31" t="n">
        <f aca="false">INDEX(Parametri!$D$31:$D$52,MATCH($B7,Parametri!$A$31:$A$52,0))+Parametri!$B$9</f>
        <v>3.35</v>
      </c>
      <c r="E7" s="16" t="n">
        <v>0.85</v>
      </c>
      <c r="F7" s="23" t="n">
        <f aca="false">E7*EXP(SUMPRODUCT(LN(1-$E$6:E6+($E$6:E6=1)*0.000000000001)))</f>
        <v>0.7225</v>
      </c>
      <c r="G7" s="11" t="n">
        <f aca="false">INDEX(Parametri!$B$31:$B$52,MATCH($B7,Parametri!$A$31:$A$52,0))</f>
        <v>2771</v>
      </c>
      <c r="H7" s="32" t="n">
        <f aca="false">INDEX(Parametri!$C$31:$C$52,MATCH($B7,Parametri!$A$31:$A$52,0))</f>
        <v>2027</v>
      </c>
      <c r="I7" s="11" t="n">
        <f aca="false">INDEX(Parametri!$B$14:$B$27,MATCH($C7,Parametri!$A$14:$A$27,0))</f>
        <v>26000</v>
      </c>
      <c r="J7" s="11" t="n">
        <f aca="false">INDEX(Parametri!$F$31:$F$52,MATCH($B7,Parametri!$A$31:$A$52,0))</f>
        <v>0</v>
      </c>
      <c r="K7" s="12" t="n">
        <f aca="false">INDEX(N7:S7,MATCH($F$3,$N$4:$S$4,0))</f>
        <v>29551</v>
      </c>
      <c r="L7" s="12" t="n">
        <f aca="false">SUM(N7:S7)</f>
        <v>102583.411418656</v>
      </c>
      <c r="M7" s="12" t="n">
        <f aca="false">F7*L7</f>
        <v>74116.5147499792</v>
      </c>
      <c r="N7" s="12" t="n">
        <f aca="false">IF(N$4&lt;$F$3,0,MAX(0,MIN(1,$D7-(N$4-$F$3+1)+1))*($G7*(1+INDEX(Parametri!$E$31:$E$52,MATCH($B7,Parametri!$A$31:$A$52,0)))^(N$4-$H7)+$I7*(1+Parametri!$B$5)^(N$4-Parametri!$B$6)+IF(N$4=$F$3,$J7,0)))</f>
        <v>29551</v>
      </c>
      <c r="O7" s="12" t="n">
        <f aca="false">IF(O$4&lt;$F$3,0,MAX(0,MIN(1,$D7-(O$4-$F$3+1)+1))*($G7*(1+INDEX(Parametri!$E$31:$E$52,MATCH($B7,Parametri!$A$31:$A$52,0)))^(O$4-$H7)+$I7*(1+Parametri!$B$5)^(O$4-Parametri!$B$6)+IF(O$4=$F$3,$J7,0)))</f>
        <v>30423.675</v>
      </c>
      <c r="P7" s="12" t="n">
        <f aca="false">IF(P$4&lt;$F$3,0,MAX(0,MIN(1,$D7-(P$4-$F$3+1)+1))*($G7*(1+INDEX(Parametri!$E$31:$E$52,MATCH($B7,Parametri!$A$31:$A$52,0)))^(P$4-$H7)+$I7*(1+Parametri!$B$5)^(P$4-Parametri!$B$6)+IF(P$4=$F$3,$J7,0)))</f>
        <v>31322.183875</v>
      </c>
      <c r="Q7" s="12" t="n">
        <f aca="false">IF(Q$4&lt;$F$3,0,MAX(0,MIN(1,$D7-(Q$4-$F$3+1)+1))*($G7*(1+INDEX(Parametri!$E$31:$E$52,MATCH($B7,Parametri!$A$31:$A$52,0)))^(Q$4-$H7)+$I7*(1+Parametri!$B$5)^(Q$4-Parametri!$B$6)+IF(Q$4=$F$3,$J7,0)))</f>
        <v>11286.5525436563</v>
      </c>
      <c r="R7" s="12" t="n">
        <f aca="false">IF(R$4&lt;$F$3,0,MAX(0,MIN(1,$D7-(R$4-$F$3+1)+1))*($G7*(1+INDEX(Parametri!$E$31:$E$52,MATCH($B7,Parametri!$A$31:$A$52,0)))^(R$4-$H7)+$I7*(1+Parametri!$B$5)^(R$4-Parametri!$B$6)+IF(R$4=$F$3,$J7,0)))</f>
        <v>0</v>
      </c>
      <c r="S7" s="12" t="n">
        <f aca="false">IF(S$4&lt;$F$3,0,MAX(0,MIN(1,$D7-(S$4-$F$3+1)+1))*($G7*(1+INDEX(Parametri!$E$31:$E$52,MATCH($B7,Parametri!$A$31:$A$52,0)))^(S$4-$H7)+$I7*(1+Parametri!$B$5)^(S$4-Parametri!$B$6)+IF(S$4=$F$3,$J7,0)))</f>
        <v>0</v>
      </c>
      <c r="T7" s="12" t="n">
        <f aca="false">$F7*N7</f>
        <v>21350.5975</v>
      </c>
      <c r="U7" s="12" t="n">
        <f aca="false">$F7*O7</f>
        <v>21981.1051875</v>
      </c>
      <c r="V7" s="12" t="n">
        <f aca="false">$F7*P7</f>
        <v>22630.2778496875</v>
      </c>
      <c r="W7" s="12" t="n">
        <f aca="false">$F7*Q7</f>
        <v>8154.53421279164</v>
      </c>
      <c r="X7" s="12" t="n">
        <f aca="false">$F7*R7</f>
        <v>0</v>
      </c>
      <c r="Y7" s="12" t="n">
        <f aca="false">$F7*S7</f>
        <v>0</v>
      </c>
      <c r="Z7" s="20" t="s">
        <v>181</v>
      </c>
    </row>
    <row r="8" customFormat="false" ht="35.05" hidden="false" customHeight="false" outlineLevel="0" collapsed="false">
      <c r="A8" s="10" t="n">
        <v>3</v>
      </c>
      <c r="B8" s="25" t="s">
        <v>143</v>
      </c>
      <c r="C8" s="30" t="str">
        <f aca="false">INDEX(Parametri!$G$31:$G$52,MATCH($B8,Parametri!$A$31:$A$52,0))</f>
        <v>Copenhagen</v>
      </c>
      <c r="D8" s="31" t="n">
        <f aca="false">INDEX(Parametri!$D$31:$D$52,MATCH($B8,Parametri!$A$31:$A$52,0))</f>
        <v>3</v>
      </c>
      <c r="E8" s="16" t="n">
        <v>0.45</v>
      </c>
      <c r="F8" s="23" t="n">
        <f aca="false">E8*EXP(SUMPRODUCT(LN(1-$E$6:E7+($E$6:E7=1)*0.000000000001)))</f>
        <v>0.057375</v>
      </c>
      <c r="G8" s="11" t="n">
        <f aca="false">INDEX(Parametri!$B$31:$B$52,MATCH($B8,Parametri!$A$31:$A$52,0))</f>
        <v>0</v>
      </c>
      <c r="H8" s="32" t="n">
        <f aca="false">INDEX(Parametri!$C$31:$C$52,MATCH($B8,Parametri!$A$31:$A$52,0))</f>
        <v>2026</v>
      </c>
      <c r="I8" s="11" t="n">
        <f aca="false">INDEX(Parametri!$B$14:$B$27,MATCH($C8,Parametri!$A$14:$A$27,0))</f>
        <v>24000</v>
      </c>
      <c r="J8" s="11" t="n">
        <f aca="false">INDEX(Parametri!$F$31:$F$52,MATCH($B8,Parametri!$A$31:$A$52,0))</f>
        <v>500</v>
      </c>
      <c r="K8" s="12" t="n">
        <f aca="false">INDEX(N8:S8,MATCH($F$3,$N$4:$S$4,0))</f>
        <v>25220</v>
      </c>
      <c r="L8" s="12" t="n">
        <f aca="false">SUM(N8:S8)</f>
        <v>76907.048</v>
      </c>
      <c r="M8" s="12" t="n">
        <f aca="false">F8*L8</f>
        <v>4412.541879</v>
      </c>
      <c r="N8" s="12" t="n">
        <f aca="false">IF(N$4&lt;$F$3,0,MAX(0,MIN(1,$D8-(N$4-$F$3+1)+1))*($G8*(1+INDEX(Parametri!$E$31:$E$52,MATCH($B8,Parametri!$A$31:$A$52,0)))^(N$4-$H8)+$I8*(1+Parametri!$B$5)^(N$4-Parametri!$B$6)+IF(N$4=$F$3,$J8,0)))</f>
        <v>25220</v>
      </c>
      <c r="O8" s="12" t="n">
        <f aca="false">IF(O$4&lt;$F$3,0,MAX(0,MIN(1,$D8-(O$4-$F$3+1)+1))*($G8*(1+INDEX(Parametri!$E$31:$E$52,MATCH($B8,Parametri!$A$31:$A$52,0)))^(O$4-$H8)+$I8*(1+Parametri!$B$5)^(O$4-Parametri!$B$6)+IF(O$4=$F$3,$J8,0)))</f>
        <v>25461.6</v>
      </c>
      <c r="P8" s="12" t="n">
        <f aca="false">IF(P$4&lt;$F$3,0,MAX(0,MIN(1,$D8-(P$4-$F$3+1)+1))*($G8*(1+INDEX(Parametri!$E$31:$E$52,MATCH($B8,Parametri!$A$31:$A$52,0)))^(P$4-$H8)+$I8*(1+Parametri!$B$5)^(P$4-Parametri!$B$6)+IF(P$4=$F$3,$J8,0)))</f>
        <v>26225.448</v>
      </c>
      <c r="Q8" s="12" t="n">
        <f aca="false">IF(Q$4&lt;$F$3,0,MAX(0,MIN(1,$D8-(Q$4-$F$3+1)+1))*($G8*(1+INDEX(Parametri!$E$31:$E$52,MATCH($B8,Parametri!$A$31:$A$52,0)))^(Q$4-$H8)+$I8*(1+Parametri!$B$5)^(Q$4-Parametri!$B$6)+IF(Q$4=$F$3,$J8,0)))</f>
        <v>0</v>
      </c>
      <c r="R8" s="12" t="n">
        <f aca="false">IF(R$4&lt;$F$3,0,MAX(0,MIN(1,$D8-(R$4-$F$3+1)+1))*($G8*(1+INDEX(Parametri!$E$31:$E$52,MATCH($B8,Parametri!$A$31:$A$52,0)))^(R$4-$H8)+$I8*(1+Parametri!$B$5)^(R$4-Parametri!$B$6)+IF(R$4=$F$3,$J8,0)))</f>
        <v>0</v>
      </c>
      <c r="S8" s="12" t="n">
        <f aca="false">IF(S$4&lt;$F$3,0,MAX(0,MIN(1,$D8-(S$4-$F$3+1)+1))*($G8*(1+INDEX(Parametri!$E$31:$E$52,MATCH($B8,Parametri!$A$31:$A$52,0)))^(S$4-$H8)+$I8*(1+Parametri!$B$5)^(S$4-Parametri!$B$6)+IF(S$4=$F$3,$J8,0)))</f>
        <v>0</v>
      </c>
      <c r="T8" s="12" t="n">
        <f aca="false">$F8*N8</f>
        <v>1446.9975</v>
      </c>
      <c r="U8" s="12" t="n">
        <f aca="false">$F8*O8</f>
        <v>1460.8593</v>
      </c>
      <c r="V8" s="12" t="n">
        <f aca="false">$F8*P8</f>
        <v>1504.685079</v>
      </c>
      <c r="W8" s="12" t="n">
        <f aca="false">$F8*Q8</f>
        <v>0</v>
      </c>
      <c r="X8" s="12" t="n">
        <f aca="false">$F8*R8</f>
        <v>0</v>
      </c>
      <c r="Y8" s="12" t="n">
        <f aca="false">$F8*S8</f>
        <v>0</v>
      </c>
      <c r="Z8" s="20" t="s">
        <v>182</v>
      </c>
    </row>
    <row r="9" customFormat="false" ht="35.05" hidden="false" customHeight="false" outlineLevel="0" collapsed="false">
      <c r="A9" s="10" t="n">
        <v>4</v>
      </c>
      <c r="B9" s="25" t="s">
        <v>105</v>
      </c>
      <c r="C9" s="30" t="str">
        <f aca="false">INDEX(Parametri!$G$31:$G$52,MATCH($B9,Parametri!$A$31:$A$52,0))</f>
        <v>Milano (a casa)</v>
      </c>
      <c r="D9" s="31" t="n">
        <f aca="false">INDEX(Parametri!$D$31:$D$52,MATCH($B9,Parametri!$A$31:$A$52,0))</f>
        <v>3</v>
      </c>
      <c r="E9" s="16" t="n">
        <v>0.55</v>
      </c>
      <c r="F9" s="23" t="n">
        <f aca="false">E9*EXP(SUMPRODUCT(LN(1-$E$6:E8+($E$6:E8=1)*0.000000000001)))</f>
        <v>0.03856875</v>
      </c>
      <c r="G9" s="11" t="n">
        <f aca="false">INDEX(Parametri!$B$31:$B$52,MATCH($B9,Parametri!$A$31:$A$52,0))</f>
        <v>17000</v>
      </c>
      <c r="H9" s="32" t="n">
        <f aca="false">INDEX(Parametri!$C$31:$C$52,MATCH($B9,Parametri!$A$31:$A$52,0))</f>
        <v>2026</v>
      </c>
      <c r="I9" s="11" t="n">
        <f aca="false">INDEX(Parametri!$B$14:$B$27,MATCH($C9,Parametri!$A$14:$A$27,0))</f>
        <v>2800</v>
      </c>
      <c r="J9" s="11" t="n">
        <f aca="false">INDEX(Parametri!$F$31:$F$52,MATCH($B9,Parametri!$A$31:$A$52,0))</f>
        <v>0</v>
      </c>
      <c r="K9" s="12" t="n">
        <f aca="false">INDEX(N9:S9,MATCH($F$3,$N$4:$S$4,0))</f>
        <v>20309</v>
      </c>
      <c r="L9" s="12" t="n">
        <f aca="false">SUM(N9:S9)</f>
        <v>62506.921225</v>
      </c>
      <c r="M9" s="12" t="n">
        <f aca="false">F9*L9</f>
        <v>2410.81381799672</v>
      </c>
      <c r="N9" s="12" t="n">
        <f aca="false">IF(N$4&lt;$F$3,0,MAX(0,MIN(1,$D9-(N$4-$F$3+1)+1))*($G9*(1+INDEX(Parametri!$E$31:$E$52,MATCH($B9,Parametri!$A$31:$A$52,0)))^(N$4-$H9)+$I9*(1+Parametri!$B$5)^(N$4-Parametri!$B$6)+IF(N$4=$F$3,$J9,0)))</f>
        <v>20309</v>
      </c>
      <c r="O9" s="12" t="n">
        <f aca="false">IF(O$4&lt;$F$3,0,MAX(0,MIN(1,$D9-(O$4-$F$3+1)+1))*($G9*(1+INDEX(Parametri!$E$31:$E$52,MATCH($B9,Parametri!$A$31:$A$52,0)))^(O$4-$H9)+$I9*(1+Parametri!$B$5)^(O$4-Parametri!$B$6)+IF(O$4=$F$3,$J9,0)))</f>
        <v>20831.145</v>
      </c>
      <c r="P9" s="12" t="n">
        <f aca="false">IF(P$4&lt;$F$3,0,MAX(0,MIN(1,$D9-(P$4-$F$3+1)+1))*($G9*(1+INDEX(Parametri!$E$31:$E$52,MATCH($B9,Parametri!$A$31:$A$52,0)))^(P$4-$H9)+$I9*(1+Parametri!$B$5)^(P$4-Parametri!$B$6)+IF(P$4=$F$3,$J9,0)))</f>
        <v>21366.776225</v>
      </c>
      <c r="Q9" s="12" t="n">
        <f aca="false">IF(Q$4&lt;$F$3,0,MAX(0,MIN(1,$D9-(Q$4-$F$3+1)+1))*($G9*(1+INDEX(Parametri!$E$31:$E$52,MATCH($B9,Parametri!$A$31:$A$52,0)))^(Q$4-$H9)+$I9*(1+Parametri!$B$5)^(Q$4-Parametri!$B$6)+IF(Q$4=$F$3,$J9,0)))</f>
        <v>0</v>
      </c>
      <c r="R9" s="12" t="n">
        <f aca="false">IF(R$4&lt;$F$3,0,MAX(0,MIN(1,$D9-(R$4-$F$3+1)+1))*($G9*(1+INDEX(Parametri!$E$31:$E$52,MATCH($B9,Parametri!$A$31:$A$52,0)))^(R$4-$H9)+$I9*(1+Parametri!$B$5)^(R$4-Parametri!$B$6)+IF(R$4=$F$3,$J9,0)))</f>
        <v>0</v>
      </c>
      <c r="S9" s="12" t="n">
        <f aca="false">IF(S$4&lt;$F$3,0,MAX(0,MIN(1,$D9-(S$4-$F$3+1)+1))*($G9*(1+INDEX(Parametri!$E$31:$E$52,MATCH($B9,Parametri!$A$31:$A$52,0)))^(S$4-$H9)+$I9*(1+Parametri!$B$5)^(S$4-Parametri!$B$6)+IF(S$4=$F$3,$J9,0)))</f>
        <v>0</v>
      </c>
      <c r="T9" s="12" t="n">
        <f aca="false">$F9*N9</f>
        <v>783.29274375</v>
      </c>
      <c r="U9" s="12" t="n">
        <f aca="false">$F9*O9</f>
        <v>803.43122371875</v>
      </c>
      <c r="V9" s="12" t="n">
        <f aca="false">$F9*P9</f>
        <v>824.089850527969</v>
      </c>
      <c r="W9" s="12" t="n">
        <f aca="false">$F9*Q9</f>
        <v>0</v>
      </c>
      <c r="X9" s="12" t="n">
        <f aca="false">$F9*R9</f>
        <v>0</v>
      </c>
      <c r="Y9" s="12" t="n">
        <f aca="false">$F9*S9</f>
        <v>0</v>
      </c>
      <c r="Z9" s="20" t="s">
        <v>183</v>
      </c>
    </row>
    <row r="10" customFormat="false" ht="35.05" hidden="false" customHeight="false" outlineLevel="0" collapsed="false">
      <c r="A10" s="10" t="n">
        <v>5</v>
      </c>
      <c r="B10" s="25" t="s">
        <v>145</v>
      </c>
      <c r="C10" s="30" t="str">
        <f aca="false">INDEX(Parametri!$G$31:$G$52,MATCH($B10,Parametri!$A$31:$A$52,0))</f>
        <v>Dublino</v>
      </c>
      <c r="D10" s="31" t="n">
        <f aca="false">INDEX(Parametri!$D$31:$D$52,MATCH($B10,Parametri!$A$31:$A$52,0))</f>
        <v>3</v>
      </c>
      <c r="E10" s="16" t="n">
        <v>0.7</v>
      </c>
      <c r="F10" s="23" t="n">
        <f aca="false">E10*EXP(SUMPRODUCT(LN(1-$E$6:E9+($E$6:E9=1)*0.000000000001)))</f>
        <v>0.022089375</v>
      </c>
      <c r="G10" s="11" t="n">
        <f aca="false">INDEX(Parametri!$B$31:$B$52,MATCH($B10,Parametri!$A$31:$A$52,0))</f>
        <v>2754</v>
      </c>
      <c r="H10" s="32" t="n">
        <f aca="false">INDEX(Parametri!$C$31:$C$52,MATCH($B10,Parametri!$A$31:$A$52,0))</f>
        <v>2026</v>
      </c>
      <c r="I10" s="11" t="n">
        <f aca="false">INDEX(Parametri!$B$14:$B$27,MATCH($C10,Parametri!$A$14:$A$27,0))</f>
        <v>30000</v>
      </c>
      <c r="J10" s="11" t="n">
        <f aca="false">INDEX(Parametri!$F$31:$F$52,MATCH($B10,Parametri!$A$31:$A$52,0))</f>
        <v>0</v>
      </c>
      <c r="K10" s="12" t="n">
        <f aca="false">INDEX(N10:S10,MATCH($F$3,$N$4:$S$4,0))</f>
        <v>33722.85</v>
      </c>
      <c r="L10" s="12" t="n">
        <f aca="false">SUM(N10:S10)</f>
        <v>104190.83803125</v>
      </c>
      <c r="M10" s="12" t="n">
        <f aca="false">F10*L10</f>
        <v>2301.51049283654</v>
      </c>
      <c r="N10" s="12" t="n">
        <f aca="false">IF(N$4&lt;$F$3,0,MAX(0,MIN(1,$D10-(N$4-$F$3+1)+1))*($G10*(1+INDEX(Parametri!$E$31:$E$52,MATCH($B10,Parametri!$A$31:$A$52,0)))^(N$4-$H10)+$I10*(1+Parametri!$B$5)^(N$4-Parametri!$B$6)+IF(N$4=$F$3,$J10,0)))</f>
        <v>33722.85</v>
      </c>
      <c r="O10" s="12" t="n">
        <f aca="false">IF(O$4&lt;$F$3,0,MAX(0,MIN(1,$D10-(O$4-$F$3+1)+1))*($G10*(1+INDEX(Parametri!$E$31:$E$52,MATCH($B10,Parametri!$A$31:$A$52,0)))^(O$4-$H10)+$I10*(1+Parametri!$B$5)^(O$4-Parametri!$B$6)+IF(O$4=$F$3,$J10,0)))</f>
        <v>34720.42125</v>
      </c>
      <c r="P10" s="12" t="n">
        <f aca="false">IF(P$4&lt;$F$3,0,MAX(0,MIN(1,$D10-(P$4-$F$3+1)+1))*($G10*(1+INDEX(Parametri!$E$31:$E$52,MATCH($B10,Parametri!$A$31:$A$52,0)))^(P$4-$H10)+$I10*(1+Parametri!$B$5)^(P$4-Parametri!$B$6)+IF(P$4=$F$3,$J10,0)))</f>
        <v>35747.56678125</v>
      </c>
      <c r="Q10" s="12" t="n">
        <f aca="false">IF(Q$4&lt;$F$3,0,MAX(0,MIN(1,$D10-(Q$4-$F$3+1)+1))*($G10*(1+INDEX(Parametri!$E$31:$E$52,MATCH($B10,Parametri!$A$31:$A$52,0)))^(Q$4-$H10)+$I10*(1+Parametri!$B$5)^(Q$4-Parametri!$B$6)+IF(Q$4=$F$3,$J10,0)))</f>
        <v>0</v>
      </c>
      <c r="R10" s="12" t="n">
        <f aca="false">IF(R$4&lt;$F$3,0,MAX(0,MIN(1,$D10-(R$4-$F$3+1)+1))*($G10*(1+INDEX(Parametri!$E$31:$E$52,MATCH($B10,Parametri!$A$31:$A$52,0)))^(R$4-$H10)+$I10*(1+Parametri!$B$5)^(R$4-Parametri!$B$6)+IF(R$4=$F$3,$J10,0)))</f>
        <v>0</v>
      </c>
      <c r="S10" s="12" t="n">
        <f aca="false">IF(S$4&lt;$F$3,0,MAX(0,MIN(1,$D10-(S$4-$F$3+1)+1))*($G10*(1+INDEX(Parametri!$E$31:$E$52,MATCH($B10,Parametri!$A$31:$A$52,0)))^(S$4-$H10)+$I10*(1+Parametri!$B$5)^(S$4-Parametri!$B$6)+IF(S$4=$F$3,$J10,0)))</f>
        <v>0</v>
      </c>
      <c r="T10" s="12" t="n">
        <f aca="false">$F10*N10</f>
        <v>744.91667971875</v>
      </c>
      <c r="U10" s="12" t="n">
        <f aca="false">$F10*O10</f>
        <v>766.952405149219</v>
      </c>
      <c r="V10" s="12" t="n">
        <f aca="false">$F10*P10</f>
        <v>789.641407968574</v>
      </c>
      <c r="W10" s="12" t="n">
        <f aca="false">$F10*Q10</f>
        <v>0</v>
      </c>
      <c r="X10" s="12" t="n">
        <f aca="false">$F10*R10</f>
        <v>0</v>
      </c>
      <c r="Y10" s="12" t="n">
        <f aca="false">$F10*S10</f>
        <v>0</v>
      </c>
      <c r="Z10" s="20" t="s">
        <v>184</v>
      </c>
    </row>
    <row r="11" customFormat="false" ht="23.85" hidden="false" customHeight="false" outlineLevel="0" collapsed="false">
      <c r="A11" s="10" t="n">
        <v>6</v>
      </c>
      <c r="B11" s="25" t="s">
        <v>135</v>
      </c>
      <c r="C11" s="30" t="str">
        <f aca="false">INDEX(Parametri!$G$31:$G$52,MATCH($B11,Parametri!$A$31:$A$52,0))</f>
        <v>Madrid</v>
      </c>
      <c r="D11" s="31" t="n">
        <f aca="false">INDEX(Parametri!$D$31:$D$52,MATCH($B11,Parametri!$A$31:$A$52,0))</f>
        <v>4</v>
      </c>
      <c r="E11" s="16" t="n">
        <v>0.75</v>
      </c>
      <c r="F11" s="23" t="n">
        <f aca="false">E11*EXP(SUMPRODUCT(LN(1-$E$6:E10+($E$6:E10=1)*0.000000000001)))</f>
        <v>0.00710015625</v>
      </c>
      <c r="G11" s="11" t="n">
        <f aca="false">INDEX(Parametri!$B$31:$B$52,MATCH($B11,Parametri!$A$31:$A$52,0))</f>
        <v>29000</v>
      </c>
      <c r="H11" s="32" t="n">
        <f aca="false">INDEX(Parametri!$C$31:$C$52,MATCH($B11,Parametri!$A$31:$A$52,0))</f>
        <v>2026</v>
      </c>
      <c r="I11" s="11" t="n">
        <f aca="false">INDEX(Parametri!$B$14:$B$27,MATCH($C11,Parametri!$A$14:$A$27,0))</f>
        <v>26000</v>
      </c>
      <c r="J11" s="11" t="n">
        <f aca="false">INDEX(Parametri!$F$31:$F$52,MATCH($B11,Parametri!$A$31:$A$52,0))</f>
        <v>6350</v>
      </c>
      <c r="K11" s="12" t="n">
        <f aca="false">INDEX(N11:S11,MATCH($F$3,$N$4:$S$4,0))</f>
        <v>62971</v>
      </c>
      <c r="L11" s="12" t="n">
        <f aca="false">SUM(N11:S11)</f>
        <v>243044.977976149</v>
      </c>
      <c r="M11" s="12" t="n">
        <f aca="false">F11*L11</f>
        <v>1725.65731940847</v>
      </c>
      <c r="N11" s="12" t="n">
        <f aca="false">IF(N$4&lt;$F$3,0,MAX(0,MIN(1,$D11-(N$4-$F$3+1)+1))*($G11*(1+INDEX(Parametri!$E$31:$E$52,MATCH($B11,Parametri!$A$31:$A$52,0)))^(N$4-$H11)+$I11*(1+Parametri!$B$5)^(N$4-Parametri!$B$6)+IF(N$4=$F$3,$J11,0)))</f>
        <v>62971</v>
      </c>
      <c r="O11" s="12" t="n">
        <f aca="false">IF(O$4&lt;$F$3,0,MAX(0,MIN(1,$D11-(O$4-$F$3+1)+1))*($G11*(1+INDEX(Parametri!$E$31:$E$52,MATCH($B11,Parametri!$A$31:$A$52,0)))^(O$4-$H11)+$I11*(1+Parametri!$B$5)^(O$4-Parametri!$B$6)+IF(O$4=$F$3,$J11,0)))</f>
        <v>58289.789</v>
      </c>
      <c r="P11" s="12" t="n">
        <f aca="false">IF(P$4&lt;$F$3,0,MAX(0,MIN(1,$D11-(P$4-$F$3+1)+1))*($G11*(1+INDEX(Parametri!$E$31:$E$52,MATCH($B11,Parametri!$A$31:$A$52,0)))^(P$4-$H11)+$I11*(1+Parametri!$B$5)^(P$4-Parametri!$B$6)+IF(P$4=$F$3,$J11,0)))</f>
        <v>60007.776281</v>
      </c>
      <c r="Q11" s="12" t="n">
        <f aca="false">IF(Q$4&lt;$F$3,0,MAX(0,MIN(1,$D11-(Q$4-$F$3+1)+1))*($G11*(1+INDEX(Parametri!$E$31:$E$52,MATCH($B11,Parametri!$A$31:$A$52,0)))^(Q$4-$H11)+$I11*(1+Parametri!$B$5)^(Q$4-Parametri!$B$6)+IF(Q$4=$F$3,$J11,0)))</f>
        <v>61776.412695149</v>
      </c>
      <c r="R11" s="12" t="n">
        <f aca="false">IF(R$4&lt;$F$3,0,MAX(0,MIN(1,$D11-(R$4-$F$3+1)+1))*($G11*(1+INDEX(Parametri!$E$31:$E$52,MATCH($B11,Parametri!$A$31:$A$52,0)))^(R$4-$H11)+$I11*(1+Parametri!$B$5)^(R$4-Parametri!$B$6)+IF(R$4=$F$3,$J11,0)))</f>
        <v>0</v>
      </c>
      <c r="S11" s="12" t="n">
        <f aca="false">IF(S$4&lt;$F$3,0,MAX(0,MIN(1,$D11-(S$4-$F$3+1)+1))*($G11*(1+INDEX(Parametri!$E$31:$E$52,MATCH($B11,Parametri!$A$31:$A$52,0)))^(S$4-$H11)+$I11*(1+Parametri!$B$5)^(S$4-Parametri!$B$6)+IF(S$4=$F$3,$J11,0)))</f>
        <v>0</v>
      </c>
      <c r="T11" s="12" t="n">
        <f aca="false">$F11*N11</f>
        <v>447.10393921875</v>
      </c>
      <c r="U11" s="12" t="n">
        <f aca="false">$F11*O11</f>
        <v>413.866609679531</v>
      </c>
      <c r="V11" s="12" t="n">
        <f aca="false">$F11*P11</f>
        <v>426.064587810144</v>
      </c>
      <c r="W11" s="12" t="n">
        <f aca="false">$F11*Q11</f>
        <v>438.622182700041</v>
      </c>
      <c r="X11" s="12" t="n">
        <f aca="false">$F11*R11</f>
        <v>0</v>
      </c>
      <c r="Y11" s="12" t="n">
        <f aca="false">$F11*S11</f>
        <v>0</v>
      </c>
      <c r="Z11" s="20" t="s">
        <v>185</v>
      </c>
    </row>
    <row r="12" customFormat="false" ht="23.85" hidden="false" customHeight="false" outlineLevel="0" collapsed="false">
      <c r="A12" s="10" t="n">
        <v>7</v>
      </c>
      <c r="B12" s="25" t="s">
        <v>131</v>
      </c>
      <c r="C12" s="30" t="str">
        <f aca="false">INDEX(Parametri!$G$31:$G$52,MATCH($B12,Parametri!$A$31:$A$52,0))</f>
        <v>ESCP (media 3 campus)</v>
      </c>
      <c r="D12" s="31" t="n">
        <f aca="false">INDEX(Parametri!$D$31:$D$52,MATCH($B12,Parametri!$A$31:$A$52,0))</f>
        <v>3</v>
      </c>
      <c r="E12" s="16" t="n">
        <v>0.65</v>
      </c>
      <c r="F12" s="23" t="n">
        <f aca="false">E12*EXP(SUMPRODUCT(LN(1-$E$6:E11+($E$6:E11=1)*0.000000000001)))</f>
        <v>0.0015383671875</v>
      </c>
      <c r="G12" s="11" t="n">
        <f aca="false">INDEX(Parametri!$B$31:$B$52,MATCH($B12,Parametri!$A$31:$A$52,0))</f>
        <v>20800</v>
      </c>
      <c r="H12" s="32" t="n">
        <f aca="false">INDEX(Parametri!$C$31:$C$52,MATCH($B12,Parametri!$A$31:$A$52,0))</f>
        <v>2027</v>
      </c>
      <c r="I12" s="11" t="n">
        <f aca="false">INDEX(Parametri!$B$14:$B$27,MATCH($C12,Parametri!$A$14:$A$27,0))</f>
        <v>23000</v>
      </c>
      <c r="J12" s="11" t="n">
        <f aca="false">INDEX(Parametri!$F$31:$F$52,MATCH($B12,Parametri!$A$31:$A$52,0))</f>
        <v>80</v>
      </c>
      <c r="K12" s="12" t="n">
        <f aca="false">INDEX(N12:S12,MATCH($F$3,$N$4:$S$4,0))</f>
        <v>44570</v>
      </c>
      <c r="L12" s="12" t="n">
        <f aca="false">SUM(N12:S12)</f>
        <v>137276.421</v>
      </c>
      <c r="M12" s="12" t="n">
        <f aca="false">F12*L12</f>
        <v>211.181541683836</v>
      </c>
      <c r="N12" s="12" t="n">
        <f aca="false">IF(N$4&lt;$F$3,0,MAX(0,MIN(1,$D12-(N$4-$F$3+1)+1))*($G12*(1+INDEX(Parametri!$E$31:$E$52,MATCH($B12,Parametri!$A$31:$A$52,0)))^(N$4-$H12)+$I12*(1+Parametri!$B$5)^(N$4-Parametri!$B$6)+IF(N$4=$F$3,$J12,0)))</f>
        <v>44570</v>
      </c>
      <c r="O12" s="12" t="n">
        <f aca="false">IF(O$4&lt;$F$3,0,MAX(0,MIN(1,$D12-(O$4-$F$3+1)+1))*($G12*(1+INDEX(Parametri!$E$31:$E$52,MATCH($B12,Parametri!$A$31:$A$52,0)))^(O$4-$H12)+$I12*(1+Parametri!$B$5)^(O$4-Parametri!$B$6)+IF(O$4=$F$3,$J12,0)))</f>
        <v>45720.7</v>
      </c>
      <c r="P12" s="12" t="n">
        <f aca="false">IF(P$4&lt;$F$3,0,MAX(0,MIN(1,$D12-(P$4-$F$3+1)+1))*($G12*(1+INDEX(Parametri!$E$31:$E$52,MATCH($B12,Parametri!$A$31:$A$52,0)))^(P$4-$H12)+$I12*(1+Parametri!$B$5)^(P$4-Parametri!$B$6)+IF(P$4=$F$3,$J12,0)))</f>
        <v>46985.721</v>
      </c>
      <c r="Q12" s="12" t="n">
        <f aca="false">IF(Q$4&lt;$F$3,0,MAX(0,MIN(1,$D12-(Q$4-$F$3+1)+1))*($G12*(1+INDEX(Parametri!$E$31:$E$52,MATCH($B12,Parametri!$A$31:$A$52,0)))^(Q$4-$H12)+$I12*(1+Parametri!$B$5)^(Q$4-Parametri!$B$6)+IF(Q$4=$F$3,$J12,0)))</f>
        <v>0</v>
      </c>
      <c r="R12" s="12" t="n">
        <f aca="false">IF(R$4&lt;$F$3,0,MAX(0,MIN(1,$D12-(R$4-$F$3+1)+1))*($G12*(1+INDEX(Parametri!$E$31:$E$52,MATCH($B12,Parametri!$A$31:$A$52,0)))^(R$4-$H12)+$I12*(1+Parametri!$B$5)^(R$4-Parametri!$B$6)+IF(R$4=$F$3,$J12,0)))</f>
        <v>0</v>
      </c>
      <c r="S12" s="12" t="n">
        <f aca="false">IF(S$4&lt;$F$3,0,MAX(0,MIN(1,$D12-(S$4-$F$3+1)+1))*($G12*(1+INDEX(Parametri!$E$31:$E$52,MATCH($B12,Parametri!$A$31:$A$52,0)))^(S$4-$H12)+$I12*(1+Parametri!$B$5)^(S$4-Parametri!$B$6)+IF(S$4=$F$3,$J12,0)))</f>
        <v>0</v>
      </c>
      <c r="T12" s="12" t="n">
        <f aca="false">$F12*N12</f>
        <v>68.565025546875</v>
      </c>
      <c r="U12" s="12" t="n">
        <f aca="false">$F12*O12</f>
        <v>70.3352246695312</v>
      </c>
      <c r="V12" s="12" t="n">
        <f aca="false">$F12*P12</f>
        <v>72.2812914674297</v>
      </c>
      <c r="W12" s="12" t="n">
        <f aca="false">$F12*Q12</f>
        <v>0</v>
      </c>
      <c r="X12" s="12" t="n">
        <f aca="false">$F12*R12</f>
        <v>0</v>
      </c>
      <c r="Y12" s="12" t="n">
        <f aca="false">$F12*S12</f>
        <v>0</v>
      </c>
      <c r="Z12" s="20" t="s">
        <v>186</v>
      </c>
    </row>
    <row r="13" customFormat="false" ht="35.05" hidden="false" customHeight="false" outlineLevel="0" collapsed="false">
      <c r="A13" s="10" t="n">
        <v>8</v>
      </c>
      <c r="B13" s="25" t="s">
        <v>133</v>
      </c>
      <c r="C13" s="30" t="str">
        <f aca="false">INDEX(Parametri!$G$31:$G$52,MATCH($B13,Parametri!$A$31:$A$52,0))</f>
        <v>Forward College (Lisbona/Parigi/Berlino)</v>
      </c>
      <c r="D13" s="31" t="n">
        <f aca="false">INDEX(Parametri!$D$31:$D$52,MATCH($B13,Parametri!$A$31:$A$52,0))</f>
        <v>3</v>
      </c>
      <c r="E13" s="16" t="n">
        <v>0.55</v>
      </c>
      <c r="F13" s="23" t="n">
        <f aca="false">E13*EXP(SUMPRODUCT(LN(1-$E$6:E12+($E$6:E12=1)*0.000000000001)))</f>
        <v>0.000455593359375</v>
      </c>
      <c r="G13" s="11" t="n">
        <f aca="false">INDEX(Parametri!$B$31:$B$52,MATCH($B13,Parametri!$A$31:$A$52,0))</f>
        <v>21850</v>
      </c>
      <c r="H13" s="32" t="n">
        <f aca="false">INDEX(Parametri!$C$31:$C$52,MATCH($B13,Parametri!$A$31:$A$52,0))</f>
        <v>2027</v>
      </c>
      <c r="I13" s="11" t="n">
        <f aca="false">INDEX(Parametri!$B$14:$B$27,MATCH($C13,Parametri!$A$14:$A$27,0))</f>
        <v>21700</v>
      </c>
      <c r="J13" s="11" t="n">
        <f aca="false">INDEX(Parametri!$F$31:$F$52,MATCH($B13,Parametri!$A$31:$A$52,0))</f>
        <v>70</v>
      </c>
      <c r="K13" s="12" t="n">
        <f aca="false">INDEX(N13:S13,MATCH($F$3,$N$4:$S$4,0))</f>
        <v>44271</v>
      </c>
      <c r="L13" s="12" t="n">
        <f aca="false">SUM(N13:S13)</f>
        <v>138036.8309</v>
      </c>
      <c r="M13" s="12" t="n">
        <f aca="false">F13*L13</f>
        <v>62.8886635072098</v>
      </c>
      <c r="N13" s="12" t="n">
        <f aca="false">IF(N$4&lt;$F$3,0,MAX(0,MIN(1,$D13-(N$4-$F$3+1)+1))*($G13*(1+INDEX(Parametri!$E$31:$E$52,MATCH($B13,Parametri!$A$31:$A$52,0)))^(N$4-$H13)+$I13*(1+Parametri!$B$5)^(N$4-Parametri!$B$6)+IF(N$4=$F$3,$J13,0)))</f>
        <v>44271</v>
      </c>
      <c r="O13" s="12" t="n">
        <f aca="false">IF(O$4&lt;$F$3,0,MAX(0,MIN(1,$D13-(O$4-$F$3+1)+1))*($G13*(1+INDEX(Parametri!$E$31:$E$52,MATCH($B13,Parametri!$A$31:$A$52,0)))^(O$4-$H13)+$I13*(1+Parametri!$B$5)^(O$4-Parametri!$B$6)+IF(O$4=$F$3,$J13,0)))</f>
        <v>45964.03</v>
      </c>
      <c r="P13" s="12" t="n">
        <f aca="false">IF(P$4&lt;$F$3,0,MAX(0,MIN(1,$D13-(P$4-$F$3+1)+1))*($G13*(1+INDEX(Parametri!$E$31:$E$52,MATCH($B13,Parametri!$A$31:$A$52,0)))^(P$4-$H13)+$I13*(1+Parametri!$B$5)^(P$4-Parametri!$B$6)+IF(P$4=$F$3,$J13,0)))</f>
        <v>47801.8009</v>
      </c>
      <c r="Q13" s="12" t="n">
        <f aca="false">IF(Q$4&lt;$F$3,0,MAX(0,MIN(1,$D13-(Q$4-$F$3+1)+1))*($G13*(1+INDEX(Parametri!$E$31:$E$52,MATCH($B13,Parametri!$A$31:$A$52,0)))^(Q$4-$H13)+$I13*(1+Parametri!$B$5)^(Q$4-Parametri!$B$6)+IF(Q$4=$F$3,$J13,0)))</f>
        <v>0</v>
      </c>
      <c r="R13" s="12" t="n">
        <f aca="false">IF(R$4&lt;$F$3,0,MAX(0,MIN(1,$D13-(R$4-$F$3+1)+1))*($G13*(1+INDEX(Parametri!$E$31:$E$52,MATCH($B13,Parametri!$A$31:$A$52,0)))^(R$4-$H13)+$I13*(1+Parametri!$B$5)^(R$4-Parametri!$B$6)+IF(R$4=$F$3,$J13,0)))</f>
        <v>0</v>
      </c>
      <c r="S13" s="12" t="n">
        <f aca="false">IF(S$4&lt;$F$3,0,MAX(0,MIN(1,$D13-(S$4-$F$3+1)+1))*($G13*(1+INDEX(Parametri!$E$31:$E$52,MATCH($B13,Parametri!$A$31:$A$52,0)))^(S$4-$H13)+$I13*(1+Parametri!$B$5)^(S$4-Parametri!$B$6)+IF(S$4=$F$3,$J13,0)))</f>
        <v>0</v>
      </c>
      <c r="T13" s="12" t="n">
        <f aca="false">$F13*N13</f>
        <v>20.1695736128906</v>
      </c>
      <c r="U13" s="12" t="n">
        <f aca="false">$F13*O13</f>
        <v>20.9409068381133</v>
      </c>
      <c r="V13" s="12" t="n">
        <f aca="false">$F13*P13</f>
        <v>21.7781830562059</v>
      </c>
      <c r="W13" s="12" t="n">
        <f aca="false">$F13*Q13</f>
        <v>0</v>
      </c>
      <c r="X13" s="12" t="n">
        <f aca="false">$F13*R13</f>
        <v>0</v>
      </c>
      <c r="Y13" s="12" t="n">
        <f aca="false">$F13*S13</f>
        <v>0</v>
      </c>
      <c r="Z13" s="20" t="s">
        <v>187</v>
      </c>
    </row>
    <row r="14" customFormat="false" ht="15" hidden="false" customHeight="false" outlineLevel="0" collapsed="false">
      <c r="A14" s="10" t="n">
        <v>9</v>
      </c>
      <c r="B14" s="25" t="s">
        <v>107</v>
      </c>
      <c r="C14" s="30" t="str">
        <f aca="false">INDEX(Parametri!$G$31:$G$52,MATCH($B14,Parametri!$A$31:$A$52,0))</f>
        <v>Milano (a casa)</v>
      </c>
      <c r="D14" s="31" t="n">
        <f aca="false">INDEX(Parametri!$D$31:$D$52,MATCH($B14,Parametri!$A$31:$A$52,0))</f>
        <v>3</v>
      </c>
      <c r="E14" s="16" t="n">
        <v>1</v>
      </c>
      <c r="F14" s="23" t="n">
        <f aca="false">E14*EXP(SUMPRODUCT(LN(1-$E$6:E13+($E$6:E13=1)*0.000000000001)))</f>
        <v>0.000372758203125</v>
      </c>
      <c r="G14" s="11" t="n">
        <f aca="false">INDEX(Parametri!$B$31:$B$52,MATCH($B14,Parametri!$A$31:$A$52,0))</f>
        <v>11500</v>
      </c>
      <c r="H14" s="32" t="n">
        <f aca="false">INDEX(Parametri!$C$31:$C$52,MATCH($B14,Parametri!$A$31:$A$52,0))</f>
        <v>2026</v>
      </c>
      <c r="I14" s="11" t="n">
        <f aca="false">INDEX(Parametri!$B$14:$B$27,MATCH($C14,Parametri!$A$14:$A$27,0))</f>
        <v>2800</v>
      </c>
      <c r="J14" s="11" t="n">
        <f aca="false">INDEX(Parametri!$F$31:$F$52,MATCH($B14,Parametri!$A$31:$A$52,0))</f>
        <v>0</v>
      </c>
      <c r="K14" s="12" t="n">
        <f aca="false">INDEX(N14:S14,MATCH($F$3,$N$4:$S$4,0))</f>
        <v>14671.5</v>
      </c>
      <c r="L14" s="12" t="n">
        <f aca="false">SUM(N14:S14)</f>
        <v>45168.0852875</v>
      </c>
      <c r="M14" s="12" t="n">
        <f aca="false">F14*L14</f>
        <v>16.8367743103652</v>
      </c>
      <c r="N14" s="12" t="n">
        <f aca="false">IF(N$4&lt;$F$3,0,MAX(0,MIN(1,$D14-(N$4-$F$3+1)+1))*($G14*(1+INDEX(Parametri!$E$31:$E$52,MATCH($B14,Parametri!$A$31:$A$52,0)))^(N$4-$H14)+$I14*(1+Parametri!$B$5)^(N$4-Parametri!$B$6)+IF(N$4=$F$3,$J14,0)))</f>
        <v>14671.5</v>
      </c>
      <c r="O14" s="12" t="n">
        <f aca="false">IF(O$4&lt;$F$3,0,MAX(0,MIN(1,$D14-(O$4-$F$3+1)+1))*($G14*(1+INDEX(Parametri!$E$31:$E$52,MATCH($B14,Parametri!$A$31:$A$52,0)))^(O$4-$H14)+$I14*(1+Parametri!$B$5)^(O$4-Parametri!$B$6)+IF(O$4=$F$3,$J14,0)))</f>
        <v>15052.7075</v>
      </c>
      <c r="P14" s="12" t="n">
        <f aca="false">IF(P$4&lt;$F$3,0,MAX(0,MIN(1,$D14-(P$4-$F$3+1)+1))*($G14*(1+INDEX(Parametri!$E$31:$E$52,MATCH($B14,Parametri!$A$31:$A$52,0)))^(P$4-$H14)+$I14*(1+Parametri!$B$5)^(P$4-Parametri!$B$6)+IF(P$4=$F$3,$J14,0)))</f>
        <v>15443.8777875</v>
      </c>
      <c r="Q14" s="12" t="n">
        <f aca="false">IF(Q$4&lt;$F$3,0,MAX(0,MIN(1,$D14-(Q$4-$F$3+1)+1))*($G14*(1+INDEX(Parametri!$E$31:$E$52,MATCH($B14,Parametri!$A$31:$A$52,0)))^(Q$4-$H14)+$I14*(1+Parametri!$B$5)^(Q$4-Parametri!$B$6)+IF(Q$4=$F$3,$J14,0)))</f>
        <v>0</v>
      </c>
      <c r="R14" s="12" t="n">
        <f aca="false">IF(R$4&lt;$F$3,0,MAX(0,MIN(1,$D14-(R$4-$F$3+1)+1))*($G14*(1+INDEX(Parametri!$E$31:$E$52,MATCH($B14,Parametri!$A$31:$A$52,0)))^(R$4-$H14)+$I14*(1+Parametri!$B$5)^(R$4-Parametri!$B$6)+IF(R$4=$F$3,$J14,0)))</f>
        <v>0</v>
      </c>
      <c r="S14" s="12" t="n">
        <f aca="false">IF(S$4&lt;$F$3,0,MAX(0,MIN(1,$D14-(S$4-$F$3+1)+1))*($G14*(1+INDEX(Parametri!$E$31:$E$52,MATCH($B14,Parametri!$A$31:$A$52,0)))^(S$4-$H14)+$I14*(1+Parametri!$B$5)^(S$4-Parametri!$B$6)+IF(S$4=$F$3,$J14,0)))</f>
        <v>0</v>
      </c>
      <c r="T14" s="12" t="n">
        <f aca="false">$F14*N14</f>
        <v>5.46892197714844</v>
      </c>
      <c r="U14" s="12" t="n">
        <f aca="false">$F14*O14</f>
        <v>5.61102019986621</v>
      </c>
      <c r="V14" s="12" t="n">
        <f aca="false">$F14*P14</f>
        <v>5.7568321333506</v>
      </c>
      <c r="W14" s="12" t="n">
        <f aca="false">$F14*Q14</f>
        <v>0</v>
      </c>
      <c r="X14" s="12" t="n">
        <f aca="false">$F14*R14</f>
        <v>0</v>
      </c>
      <c r="Y14" s="12" t="n">
        <f aca="false">$F14*S14</f>
        <v>0</v>
      </c>
      <c r="Z14" s="20" t="s">
        <v>188</v>
      </c>
    </row>
    <row r="15" customFormat="false" ht="15" hidden="false" customHeight="false" outlineLevel="0" collapsed="false">
      <c r="A15" s="15"/>
      <c r="B15" s="13" t="s">
        <v>189</v>
      </c>
      <c r="C15" s="15"/>
      <c r="D15" s="15"/>
      <c r="E15" s="15"/>
      <c r="F15" s="33" t="n">
        <f aca="false">SUM(F6:F14)</f>
        <v>1</v>
      </c>
      <c r="G15" s="15"/>
      <c r="H15" s="15"/>
      <c r="I15" s="15"/>
      <c r="J15" s="15"/>
      <c r="K15" s="15"/>
      <c r="L15" s="15"/>
      <c r="M15" s="14" t="n">
        <f aca="false">SUM(M6:M14)</f>
        <v>103764.874860597</v>
      </c>
      <c r="N15" s="15"/>
      <c r="O15" s="15"/>
      <c r="P15" s="15"/>
      <c r="Q15" s="15"/>
      <c r="R15" s="15"/>
      <c r="S15" s="15"/>
      <c r="T15" s="14" t="n">
        <f aca="false">SUM(T6:T14)</f>
        <v>30865.9868838244</v>
      </c>
      <c r="U15" s="14" t="n">
        <f aca="false">SUM(U6:U14)</f>
        <v>31690.488752755</v>
      </c>
      <c r="V15" s="14" t="n">
        <f aca="false">SUM(V6:V14)</f>
        <v>32615.2428285262</v>
      </c>
      <c r="W15" s="14" t="n">
        <f aca="false">SUM(W6:W14)</f>
        <v>8593.15639549168</v>
      </c>
      <c r="X15" s="14" t="n">
        <f aca="false">SUM(X6:X14)</f>
        <v>0</v>
      </c>
      <c r="Y15" s="14" t="n">
        <f aca="false">SUM(Y6:Y14)</f>
        <v>0</v>
      </c>
      <c r="Z15" s="34" t="s">
        <v>190</v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/>
      <c r="B17" s="13" t="s">
        <v>191</v>
      </c>
      <c r="C17" s="34" t="str">
        <f aca="false">INDEX($B$6:$B$14,MATCH(MAX($F$6:$F$14),$F$6:$F$14,0))</f>
        <v>Rotterdam EUR — IBEB</v>
      </c>
      <c r="D17" s="15"/>
      <c r="E17" s="15"/>
      <c r="F17" s="15"/>
      <c r="G17" s="15"/>
      <c r="H17" s="15"/>
      <c r="I17" s="15"/>
      <c r="J17" s="15"/>
      <c r="K17" s="15"/>
      <c r="L17" s="14" t="n">
        <f aca="false">INDEX($L$6:$L$14,MATCH(MAX($F$6:$F$14),$F$6:$F$14,0))</f>
        <v>102583.411418656</v>
      </c>
      <c r="M17" s="15"/>
      <c r="N17" s="35" t="n">
        <f aca="false">INDEX($N$6:$N$14,MATCH(MAX($F$6:$F$14),$F$6:$F$14,0))</f>
        <v>29551</v>
      </c>
      <c r="O17" s="35" t="n">
        <f aca="false">INDEX($O$6:$O$14,MATCH(MAX($F$6:$F$14),$F$6:$F$14,0))</f>
        <v>30423.675</v>
      </c>
      <c r="P17" s="35" t="n">
        <f aca="false">INDEX($P$6:$P$14,MATCH(MAX($F$6:$F$14),$F$6:$F$14,0))</f>
        <v>31322.183875</v>
      </c>
      <c r="Q17" s="35" t="n">
        <f aca="false">INDEX($Q$6:$Q$14,MATCH(MAX($F$6:$F$14),$F$6:$F$14,0))</f>
        <v>11286.5525436563</v>
      </c>
      <c r="R17" s="35" t="n">
        <f aca="false">INDEX($R$6:$R$14,MATCH(MAX($F$6:$F$14),$F$6:$F$14,0))</f>
        <v>0</v>
      </c>
      <c r="S17" s="35" t="n">
        <f aca="false">INDEX($S$6:$S$14,MATCH(MAX($F$6:$F$14),$F$6:$F$14,0))</f>
        <v>0</v>
      </c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5"/>
      <c r="B18" s="13" t="s">
        <v>192</v>
      </c>
      <c r="C18" s="34" t="str">
        <f aca="false">INDEX($B$6:$B$14,MATCH(_xlfn.MINIFS($L$6:$L$14,$F$6:$F$14,"&gt;="&amp;Parametri!$B$10),$L$6:$L$14,0))</f>
        <v>CBS Copenhagen — BSc (IB / BADM / BASM)</v>
      </c>
      <c r="D18" s="15"/>
      <c r="E18" s="15"/>
      <c r="F18" s="15"/>
      <c r="G18" s="15"/>
      <c r="H18" s="15"/>
      <c r="I18" s="15"/>
      <c r="J18" s="15"/>
      <c r="K18" s="15"/>
      <c r="L18" s="14" t="n">
        <f aca="false">INDEX($L$6:$L$14,MATCH(_xlfn.MINIFS($L$6:$L$14,$F$6:$F$14,"&gt;="&amp;Parametri!$B$10),$L$6:$L$14,0))</f>
        <v>76907.048</v>
      </c>
      <c r="M18" s="15"/>
      <c r="N18" s="35" t="n">
        <f aca="false">INDEX($N$6:$N$14,MATCH(_xlfn.MINIFS($L$6:$L$14,$F$6:$F$14,"&gt;="&amp;Parametri!$B$10),$L$6:$L$14,0))</f>
        <v>25220</v>
      </c>
      <c r="O18" s="35" t="n">
        <f aca="false">INDEX($O$6:$O$14,MATCH(_xlfn.MINIFS($L$6:$L$14,$F$6:$F$14,"&gt;="&amp;Parametri!$B$10),$L$6:$L$14,0))</f>
        <v>25461.6</v>
      </c>
      <c r="P18" s="35" t="n">
        <f aca="false">INDEX($P$6:$P$14,MATCH(_xlfn.MINIFS($L$6:$L$14,$F$6:$F$14,"&gt;="&amp;Parametri!$B$10),$L$6:$L$14,0))</f>
        <v>26225.448</v>
      </c>
      <c r="Q18" s="35" t="n">
        <f aca="false">INDEX($Q$6:$Q$14,MATCH(_xlfn.MINIFS($L$6:$L$14,$F$6:$F$14,"&gt;="&amp;Parametri!$B$10),$L$6:$L$14,0))</f>
        <v>0</v>
      </c>
      <c r="R18" s="35" t="n">
        <f aca="false">INDEX($R$6:$R$14,MATCH(_xlfn.MINIFS($L$6:$L$14,$F$6:$F$14,"&gt;="&amp;Parametri!$B$10),$L$6:$L$14,0))</f>
        <v>0</v>
      </c>
      <c r="S18" s="35" t="n">
        <f aca="false">INDEX($S$6:$S$14,MATCH(_xlfn.MINIFS($L$6:$L$14,$F$6:$F$14,"&gt;="&amp;Parametri!$B$10),$L$6:$L$14,0))</f>
        <v>0</v>
      </c>
      <c r="T18" s="5"/>
      <c r="U18" s="5"/>
      <c r="V18" s="5"/>
      <c r="W18" s="5"/>
      <c r="X18" s="5"/>
      <c r="Y18" s="5"/>
      <c r="Z18" s="5"/>
    </row>
    <row r="19" customFormat="false" ht="15" hidden="false" customHeight="false" outlineLevel="0" collapsed="false">
      <c r="A19" s="5"/>
      <c r="B19" s="13" t="s">
        <v>193</v>
      </c>
      <c r="C19" s="34" t="str">
        <f aca="false">INDEX($B$6:$B$14,MATCH(_xlfn.MAXIFS($L$6:$L$14,$F$6:$F$14,"&gt;="&amp;Parametri!$B$10),$L$6:$L$14,0))</f>
        <v>Sciences Po — Bachelor Collège universitaire</v>
      </c>
      <c r="D19" s="15"/>
      <c r="E19" s="15"/>
      <c r="F19" s="15"/>
      <c r="G19" s="15"/>
      <c r="H19" s="15"/>
      <c r="I19" s="15"/>
      <c r="J19" s="15"/>
      <c r="K19" s="15"/>
      <c r="L19" s="14" t="n">
        <f aca="false">INDEX($L$6:$L$14,MATCH(_xlfn.MAXIFS($L$6:$L$14,$F$6:$F$14,"&gt;="&amp;Parametri!$B$10),$L$6:$L$14,0))</f>
        <v>123379.5308125</v>
      </c>
      <c r="M19" s="15"/>
      <c r="N19" s="35" t="n">
        <f aca="false">INDEX($N$6:$N$14,MATCH(_xlfn.MAXIFS($L$6:$L$14,$F$6:$F$14,"&gt;="&amp;Parametri!$B$10),$L$6:$L$14,0))</f>
        <v>39992.5</v>
      </c>
      <c r="O19" s="35" t="n">
        <f aca="false">INDEX($O$6:$O$14,MATCH(_xlfn.MAXIFS($L$6:$L$14,$F$6:$F$14,"&gt;="&amp;Parametri!$B$10),$L$6:$L$14,0))</f>
        <v>41115.9125</v>
      </c>
      <c r="P19" s="35" t="n">
        <f aca="false">INDEX($P$6:$P$14,MATCH(_xlfn.MAXIFS($L$6:$L$14,$F$6:$F$14,"&gt;="&amp;Parametri!$B$10),$L$6:$L$14,0))</f>
        <v>42271.1183125</v>
      </c>
      <c r="Q19" s="35" t="n">
        <f aca="false">INDEX($Q$6:$Q$14,MATCH(_xlfn.MAXIFS($L$6:$L$14,$F$6:$F$14,"&gt;="&amp;Parametri!$B$10),$L$6:$L$14,0))</f>
        <v>0</v>
      </c>
      <c r="R19" s="35" t="n">
        <f aca="false">INDEX($R$6:$R$14,MATCH(_xlfn.MAXIFS($L$6:$L$14,$F$6:$F$14,"&gt;="&amp;Parametri!$B$10),$L$6:$L$14,0))</f>
        <v>0</v>
      </c>
      <c r="S19" s="35" t="n">
        <f aca="false">INDEX($S$6:$S$14,MATCH(_xlfn.MAXIFS($L$6:$L$14,$F$6:$F$14,"&gt;="&amp;Parametri!$B$10),$L$6:$L$14,0))</f>
        <v>0</v>
      </c>
      <c r="T19" s="5"/>
      <c r="U19" s="5"/>
      <c r="V19" s="5"/>
      <c r="W19" s="5"/>
      <c r="X19" s="5"/>
      <c r="Y19" s="5"/>
      <c r="Z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25" min="14" style="0" width="12"/>
    <col collapsed="false" customWidth="true" hidden="false" outlineLevel="0" max="26" min="26" style="0" width="50"/>
  </cols>
  <sheetData>
    <row r="1" customFormat="false" ht="17.35" hidden="false" customHeight="false" outlineLevel="0" collapsed="false">
      <c r="A1" s="4" t="s">
        <v>194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" hidden="false" customHeight="false" outlineLevel="0" collapsed="false">
      <c r="A2" s="26" t="s">
        <v>195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6" t="s">
        <v>152</v>
      </c>
      <c r="B3" s="5"/>
      <c r="C3" s="5"/>
      <c r="D3" s="5"/>
      <c r="E3" s="5"/>
      <c r="F3" s="27" t="n">
        <f aca="false">Parametri!$B$8</f>
        <v>2028</v>
      </c>
      <c r="G3" s="6" t="s">
        <v>153</v>
      </c>
      <c r="H3" s="5"/>
      <c r="I3" s="5"/>
      <c r="J3" s="5"/>
      <c r="K3" s="5"/>
      <c r="L3" s="5"/>
      <c r="M3" s="5"/>
      <c r="N3" s="28" t="s">
        <v>154</v>
      </c>
      <c r="O3" s="5"/>
      <c r="P3" s="5"/>
      <c r="Q3" s="5"/>
      <c r="R3" s="5"/>
      <c r="S3" s="5"/>
      <c r="T3" s="28" t="s">
        <v>155</v>
      </c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 t="n">
        <v>2027</v>
      </c>
      <c r="O4" s="29" t="n">
        <v>2028</v>
      </c>
      <c r="P4" s="29" t="n">
        <v>2029</v>
      </c>
      <c r="Q4" s="29" t="n">
        <v>2030</v>
      </c>
      <c r="R4" s="29" t="n">
        <v>2031</v>
      </c>
      <c r="S4" s="29" t="n">
        <v>2032</v>
      </c>
      <c r="T4" s="29" t="n">
        <v>2027</v>
      </c>
      <c r="U4" s="29" t="n">
        <v>2028</v>
      </c>
      <c r="V4" s="29" t="n">
        <v>2029</v>
      </c>
      <c r="W4" s="29" t="n">
        <v>2030</v>
      </c>
      <c r="X4" s="29" t="n">
        <v>2031</v>
      </c>
      <c r="Y4" s="29" t="n">
        <v>2032</v>
      </c>
      <c r="Z4" s="5"/>
    </row>
    <row r="5" customFormat="false" ht="42" hidden="false" customHeight="true" outlineLevel="0" collapsed="false">
      <c r="A5" s="21" t="s">
        <v>156</v>
      </c>
      <c r="B5" s="21" t="s">
        <v>157</v>
      </c>
      <c r="C5" s="21" t="s">
        <v>66</v>
      </c>
      <c r="D5" s="21" t="s">
        <v>101</v>
      </c>
      <c r="E5" s="21" t="s">
        <v>158</v>
      </c>
      <c r="F5" s="21" t="s">
        <v>159</v>
      </c>
      <c r="G5" s="21" t="s">
        <v>160</v>
      </c>
      <c r="H5" s="21" t="s">
        <v>161</v>
      </c>
      <c r="I5" s="21" t="s">
        <v>162</v>
      </c>
      <c r="J5" s="21" t="s">
        <v>163</v>
      </c>
      <c r="K5" s="21" t="s">
        <v>164</v>
      </c>
      <c r="L5" s="21" t="s">
        <v>165</v>
      </c>
      <c r="M5" s="21" t="s">
        <v>166</v>
      </c>
      <c r="N5" s="21" t="s">
        <v>167</v>
      </c>
      <c r="O5" s="21" t="s">
        <v>168</v>
      </c>
      <c r="P5" s="21" t="s">
        <v>169</v>
      </c>
      <c r="Q5" s="21" t="s">
        <v>170</v>
      </c>
      <c r="R5" s="21" t="s">
        <v>171</v>
      </c>
      <c r="S5" s="21" t="s">
        <v>172</v>
      </c>
      <c r="T5" s="21" t="s">
        <v>173</v>
      </c>
      <c r="U5" s="21" t="s">
        <v>174</v>
      </c>
      <c r="V5" s="21" t="s">
        <v>175</v>
      </c>
      <c r="W5" s="21" t="s">
        <v>176</v>
      </c>
      <c r="X5" s="21" t="s">
        <v>177</v>
      </c>
      <c r="Y5" s="21" t="s">
        <v>178</v>
      </c>
      <c r="Z5" s="21" t="s">
        <v>179</v>
      </c>
    </row>
    <row r="6" customFormat="false" ht="46.25" hidden="false" customHeight="false" outlineLevel="0" collapsed="false">
      <c r="A6" s="10" t="n">
        <v>1</v>
      </c>
      <c r="B6" s="25" t="s">
        <v>115</v>
      </c>
      <c r="C6" s="30" t="str">
        <f aca="false">INDEX(Parametri!$G$31:$G$52,MATCH($B6,Parametri!$A$31:$A$52,0))</f>
        <v>Rotterdam</v>
      </c>
      <c r="D6" s="31" t="n">
        <f aca="false">INDEX(Parametri!$D$31:$D$52,MATCH($B6,Parametri!$A$31:$A$52,0))</f>
        <v>3</v>
      </c>
      <c r="E6" s="16" t="n">
        <v>0.45</v>
      </c>
      <c r="F6" s="23" t="n">
        <f aca="false">E6</f>
        <v>0.45</v>
      </c>
      <c r="G6" s="11" t="n">
        <f aca="false">INDEX(Parametri!$B$31:$B$52,MATCH($B6,Parametri!$A$31:$A$52,0))</f>
        <v>2771</v>
      </c>
      <c r="H6" s="32" t="n">
        <f aca="false">INDEX(Parametri!$C$31:$C$52,MATCH($B6,Parametri!$A$31:$A$52,0))</f>
        <v>2027</v>
      </c>
      <c r="I6" s="11" t="n">
        <f aca="false">INDEX(Parametri!$B$14:$B$27,MATCH($C6,Parametri!$A$14:$A$27,0))</f>
        <v>26000</v>
      </c>
      <c r="J6" s="11" t="n">
        <f aca="false">INDEX(Parametri!$F$31:$F$52,MATCH($B6,Parametri!$A$31:$A$52,0))</f>
        <v>0</v>
      </c>
      <c r="K6" s="12" t="n">
        <f aca="false">INDEX(N6:S6,MATCH($F$3,$N$4:$S$4,0))</f>
        <v>30423.675</v>
      </c>
      <c r="L6" s="12" t="n">
        <f aca="false">SUM(N6:S6)</f>
        <v>93993.151856875</v>
      </c>
      <c r="M6" s="12" t="n">
        <f aca="false">F6*L6</f>
        <v>42296.9183355938</v>
      </c>
      <c r="N6" s="12" t="n">
        <f aca="false">IF(N$4&lt;$F$3,0,MAX(0,MIN(1,$D6-(N$4-$F$3+1)+1))*($G6*(1+INDEX(Parametri!$E$31:$E$52,MATCH($B6,Parametri!$A$31:$A$52,0)))^(N$4-$H6)+$I6*(1+Parametri!$B$5)^(N$4-Parametri!$B$6)+IF(N$4=$F$3,$J6,0)))</f>
        <v>0</v>
      </c>
      <c r="O6" s="12" t="n">
        <f aca="false">IF(O$4&lt;$F$3,0,MAX(0,MIN(1,$D6-(O$4-$F$3+1)+1))*($G6*(1+INDEX(Parametri!$E$31:$E$52,MATCH($B6,Parametri!$A$31:$A$52,0)))^(O$4-$H6)+$I6*(1+Parametri!$B$5)^(O$4-Parametri!$B$6)+IF(O$4=$F$3,$J6,0)))</f>
        <v>30423.675</v>
      </c>
      <c r="P6" s="12" t="n">
        <f aca="false">IF(P$4&lt;$F$3,0,MAX(0,MIN(1,$D6-(P$4-$F$3+1)+1))*($G6*(1+INDEX(Parametri!$E$31:$E$52,MATCH($B6,Parametri!$A$31:$A$52,0)))^(P$4-$H6)+$I6*(1+Parametri!$B$5)^(P$4-Parametri!$B$6)+IF(P$4=$F$3,$J6,0)))</f>
        <v>31322.183875</v>
      </c>
      <c r="Q6" s="12" t="n">
        <f aca="false">IF(Q$4&lt;$F$3,0,MAX(0,MIN(1,$D6-(Q$4-$F$3+1)+1))*($G6*(1+INDEX(Parametri!$E$31:$E$52,MATCH($B6,Parametri!$A$31:$A$52,0)))^(Q$4-$H6)+$I6*(1+Parametri!$B$5)^(Q$4-Parametri!$B$6)+IF(Q$4=$F$3,$J6,0)))</f>
        <v>32247.292981875</v>
      </c>
      <c r="R6" s="12" t="n">
        <f aca="false">IF(R$4&lt;$F$3,0,MAX(0,MIN(1,$D6-(R$4-$F$3+1)+1))*($G6*(1+INDEX(Parametri!$E$31:$E$52,MATCH($B6,Parametri!$A$31:$A$52,0)))^(R$4-$H6)+$I6*(1+Parametri!$B$5)^(R$4-Parametri!$B$6)+IF(R$4=$F$3,$J6,0)))</f>
        <v>0</v>
      </c>
      <c r="S6" s="12" t="n">
        <f aca="false">IF(S$4&lt;$F$3,0,MAX(0,MIN(1,$D6-(S$4-$F$3+1)+1))*($G6*(1+INDEX(Parametri!$E$31:$E$52,MATCH($B6,Parametri!$A$31:$A$52,0)))^(S$4-$H6)+$I6*(1+Parametri!$B$5)^(S$4-Parametri!$B$6)+IF(S$4=$F$3,$J6,0)))</f>
        <v>0</v>
      </c>
      <c r="T6" s="12" t="n">
        <f aca="false">$F6*N6</f>
        <v>0</v>
      </c>
      <c r="U6" s="12" t="n">
        <f aca="false">$F6*O6</f>
        <v>13690.65375</v>
      </c>
      <c r="V6" s="12" t="n">
        <f aca="false">$F6*P6</f>
        <v>14094.98274375</v>
      </c>
      <c r="W6" s="12" t="n">
        <f aca="false">$F6*Q6</f>
        <v>14511.2818418438</v>
      </c>
      <c r="X6" s="12" t="n">
        <f aca="false">$F6*R6</f>
        <v>0</v>
      </c>
      <c r="Y6" s="12" t="n">
        <f aca="false">$F6*S6</f>
        <v>0</v>
      </c>
      <c r="Z6" s="20" t="s">
        <v>196</v>
      </c>
    </row>
    <row r="7" customFormat="false" ht="23.85" hidden="false" customHeight="false" outlineLevel="0" collapsed="false">
      <c r="A7" s="10" t="n">
        <v>2</v>
      </c>
      <c r="B7" s="25" t="s">
        <v>105</v>
      </c>
      <c r="C7" s="30" t="str">
        <f aca="false">INDEX(Parametri!$G$31:$G$52,MATCH($B7,Parametri!$A$31:$A$52,0))</f>
        <v>Milano (a casa)</v>
      </c>
      <c r="D7" s="31" t="n">
        <f aca="false">INDEX(Parametri!$D$31:$D$52,MATCH($B7,Parametri!$A$31:$A$52,0))</f>
        <v>3</v>
      </c>
      <c r="E7" s="16" t="n">
        <v>0.25</v>
      </c>
      <c r="F7" s="23" t="n">
        <f aca="false">E7*EXP(SUMPRODUCT(LN(1-$E$6:E6+($E$6:E6=1)*0.000000000001)))</f>
        <v>0.1375</v>
      </c>
      <c r="G7" s="11" t="n">
        <f aca="false">INDEX(Parametri!$B$31:$B$52,MATCH($B7,Parametri!$A$31:$A$52,0))</f>
        <v>17000</v>
      </c>
      <c r="H7" s="32" t="n">
        <f aca="false">INDEX(Parametri!$C$31:$C$52,MATCH($B7,Parametri!$A$31:$A$52,0))</f>
        <v>2026</v>
      </c>
      <c r="I7" s="11" t="n">
        <f aca="false">INDEX(Parametri!$B$14:$B$27,MATCH($C7,Parametri!$A$14:$A$27,0))</f>
        <v>2800</v>
      </c>
      <c r="J7" s="11" t="n">
        <f aca="false">INDEX(Parametri!$F$31:$F$52,MATCH($B7,Parametri!$A$31:$A$52,0))</f>
        <v>0</v>
      </c>
      <c r="K7" s="12" t="n">
        <f aca="false">INDEX(N7:S7,MATCH($F$3,$N$4:$S$4,0))</f>
        <v>20831.145</v>
      </c>
      <c r="L7" s="12" t="n">
        <f aca="false">SUM(N7:S7)</f>
        <v>64114.165033625</v>
      </c>
      <c r="M7" s="12" t="n">
        <f aca="false">F7*L7</f>
        <v>8815.69769212344</v>
      </c>
      <c r="N7" s="12" t="n">
        <f aca="false">IF(N$4&lt;$F$3,0,MAX(0,MIN(1,$D7-(N$4-$F$3+1)+1))*($G7*(1+INDEX(Parametri!$E$31:$E$52,MATCH($B7,Parametri!$A$31:$A$52,0)))^(N$4-$H7)+$I7*(1+Parametri!$B$5)^(N$4-Parametri!$B$6)+IF(N$4=$F$3,$J7,0)))</f>
        <v>0</v>
      </c>
      <c r="O7" s="12" t="n">
        <f aca="false">IF(O$4&lt;$F$3,0,MAX(0,MIN(1,$D7-(O$4-$F$3+1)+1))*($G7*(1+INDEX(Parametri!$E$31:$E$52,MATCH($B7,Parametri!$A$31:$A$52,0)))^(O$4-$H7)+$I7*(1+Parametri!$B$5)^(O$4-Parametri!$B$6)+IF(O$4=$F$3,$J7,0)))</f>
        <v>20831.145</v>
      </c>
      <c r="P7" s="12" t="n">
        <f aca="false">IF(P$4&lt;$F$3,0,MAX(0,MIN(1,$D7-(P$4-$F$3+1)+1))*($G7*(1+INDEX(Parametri!$E$31:$E$52,MATCH($B7,Parametri!$A$31:$A$52,0)))^(P$4-$H7)+$I7*(1+Parametri!$B$5)^(P$4-Parametri!$B$6)+IF(P$4=$F$3,$J7,0)))</f>
        <v>21366.776225</v>
      </c>
      <c r="Q7" s="12" t="n">
        <f aca="false">IF(Q$4&lt;$F$3,0,MAX(0,MIN(1,$D7-(Q$4-$F$3+1)+1))*($G7*(1+INDEX(Parametri!$E$31:$E$52,MATCH($B7,Parametri!$A$31:$A$52,0)))^(Q$4-$H7)+$I7*(1+Parametri!$B$5)^(Q$4-Parametri!$B$6)+IF(Q$4=$F$3,$J7,0)))</f>
        <v>21916.243808625</v>
      </c>
      <c r="R7" s="12" t="n">
        <f aca="false">IF(R$4&lt;$F$3,0,MAX(0,MIN(1,$D7-(R$4-$F$3+1)+1))*($G7*(1+INDEX(Parametri!$E$31:$E$52,MATCH($B7,Parametri!$A$31:$A$52,0)))^(R$4-$H7)+$I7*(1+Parametri!$B$5)^(R$4-Parametri!$B$6)+IF(R$4=$F$3,$J7,0)))</f>
        <v>0</v>
      </c>
      <c r="S7" s="12" t="n">
        <f aca="false">IF(S$4&lt;$F$3,0,MAX(0,MIN(1,$D7-(S$4-$F$3+1)+1))*($G7*(1+INDEX(Parametri!$E$31:$E$52,MATCH($B7,Parametri!$A$31:$A$52,0)))^(S$4-$H7)+$I7*(1+Parametri!$B$5)^(S$4-Parametri!$B$6)+IF(S$4=$F$3,$J7,0)))</f>
        <v>0</v>
      </c>
      <c r="T7" s="12" t="n">
        <f aca="false">$F7*N7</f>
        <v>0</v>
      </c>
      <c r="U7" s="12" t="n">
        <f aca="false">$F7*O7</f>
        <v>2864.2824375</v>
      </c>
      <c r="V7" s="12" t="n">
        <f aca="false">$F7*P7</f>
        <v>2937.9317309375</v>
      </c>
      <c r="W7" s="12" t="n">
        <f aca="false">$F7*Q7</f>
        <v>3013.48352368594</v>
      </c>
      <c r="X7" s="12" t="n">
        <f aca="false">$F7*R7</f>
        <v>0</v>
      </c>
      <c r="Y7" s="12" t="n">
        <f aca="false">$F7*S7</f>
        <v>0</v>
      </c>
      <c r="Z7" s="20" t="s">
        <v>197</v>
      </c>
    </row>
    <row r="8" customFormat="false" ht="35.05" hidden="false" customHeight="false" outlineLevel="0" collapsed="false">
      <c r="A8" s="10" t="n">
        <v>3</v>
      </c>
      <c r="B8" s="25" t="s">
        <v>137</v>
      </c>
      <c r="C8" s="30" t="str">
        <f aca="false">INDEX(Parametri!$G$31:$G$52,MATCH($B8,Parametri!$A$31:$A$52,0))</f>
        <v>Barcellona</v>
      </c>
      <c r="D8" s="31" t="n">
        <f aca="false">INDEX(Parametri!$D$31:$D$52,MATCH($B8,Parametri!$A$31:$A$52,0))</f>
        <v>4</v>
      </c>
      <c r="E8" s="16" t="n">
        <v>0.45</v>
      </c>
      <c r="F8" s="23" t="n">
        <f aca="false">E8*EXP(SUMPRODUCT(LN(1-$E$6:E7+($E$6:E7=1)*0.000000000001)))</f>
        <v>0.185625</v>
      </c>
      <c r="G8" s="11" t="n">
        <f aca="false">INDEX(Parametri!$B$31:$B$52,MATCH($B8,Parametri!$A$31:$A$52,0))</f>
        <v>21300</v>
      </c>
      <c r="H8" s="32" t="n">
        <f aca="false">INDEX(Parametri!$C$31:$C$52,MATCH($B8,Parametri!$A$31:$A$52,0))</f>
        <v>2027</v>
      </c>
      <c r="I8" s="11" t="n">
        <f aca="false">INDEX(Parametri!$B$14:$B$27,MATCH($C8,Parametri!$A$14:$A$27,0))</f>
        <v>27000</v>
      </c>
      <c r="J8" s="11" t="n">
        <f aca="false">INDEX(Parametri!$F$31:$F$52,MATCH($B8,Parametri!$A$31:$A$52,0))</f>
        <v>0</v>
      </c>
      <c r="K8" s="12" t="n">
        <f aca="false">INDEX(N8:S8,MATCH($F$3,$N$4:$S$4,0))</f>
        <v>50476.8</v>
      </c>
      <c r="L8" s="12" t="n">
        <f aca="false">SUM(N8:S8)</f>
        <v>210496.864258913</v>
      </c>
      <c r="M8" s="12" t="n">
        <f aca="false">F8*L8</f>
        <v>39073.4804280606</v>
      </c>
      <c r="N8" s="12" t="n">
        <f aca="false">IF(N$4&lt;$F$3,0,MAX(0,MIN(1,$D8-(N$4-$F$3+1)+1))*($G8*(1+INDEX(Parametri!$E$31:$E$52,MATCH($B8,Parametri!$A$31:$A$52,0)))^(N$4-$H8)+$I8*(1+Parametri!$B$5)^(N$4-Parametri!$B$6)+IF(N$4=$F$3,$J8,0)))</f>
        <v>0</v>
      </c>
      <c r="O8" s="12" t="n">
        <f aca="false">IF(O$4&lt;$F$3,0,MAX(0,MIN(1,$D8-(O$4-$F$3+1)+1))*($G8*(1+INDEX(Parametri!$E$31:$E$52,MATCH($B8,Parametri!$A$31:$A$52,0)))^(O$4-$H8)+$I8*(1+Parametri!$B$5)^(O$4-Parametri!$B$6)+IF(O$4=$F$3,$J8,0)))</f>
        <v>50476.8</v>
      </c>
      <c r="P8" s="12" t="n">
        <f aca="false">IF(P$4&lt;$F$3,0,MAX(0,MIN(1,$D8-(P$4-$F$3+1)+1))*($G8*(1+INDEX(Parametri!$E$31:$E$52,MATCH($B8,Parametri!$A$31:$A$52,0)))^(P$4-$H8)+$I8*(1+Parametri!$B$5)^(P$4-Parametri!$B$6)+IF(P$4=$F$3,$J8,0)))</f>
        <v>51881.9415</v>
      </c>
      <c r="Q8" s="12" t="n">
        <f aca="false">IF(Q$4&lt;$F$3,0,MAX(0,MIN(1,$D8-(Q$4-$F$3+1)+1))*($G8*(1+INDEX(Parametri!$E$31:$E$52,MATCH($B8,Parametri!$A$31:$A$52,0)))^(Q$4-$H8)+$I8*(1+Parametri!$B$5)^(Q$4-Parametri!$B$6)+IF(Q$4=$F$3,$J8,0)))</f>
        <v>53326.5081825</v>
      </c>
      <c r="R8" s="12" t="n">
        <f aca="false">IF(R$4&lt;$F$3,0,MAX(0,MIN(1,$D8-(R$4-$F$3+1)+1))*($G8*(1+INDEX(Parametri!$E$31:$E$52,MATCH($B8,Parametri!$A$31:$A$52,0)))^(R$4-$H8)+$I8*(1+Parametri!$B$5)^(R$4-Parametri!$B$6)+IF(R$4=$F$3,$J8,0)))</f>
        <v>54811.6145764125</v>
      </c>
      <c r="S8" s="12" t="n">
        <f aca="false">IF(S$4&lt;$F$3,0,MAX(0,MIN(1,$D8-(S$4-$F$3+1)+1))*($G8*(1+INDEX(Parametri!$E$31:$E$52,MATCH($B8,Parametri!$A$31:$A$52,0)))^(S$4-$H8)+$I8*(1+Parametri!$B$5)^(S$4-Parametri!$B$6)+IF(S$4=$F$3,$J8,0)))</f>
        <v>0</v>
      </c>
      <c r="T8" s="12" t="n">
        <f aca="false">$F8*N8</f>
        <v>0</v>
      </c>
      <c r="U8" s="12" t="n">
        <f aca="false">$F8*O8</f>
        <v>9369.756</v>
      </c>
      <c r="V8" s="12" t="n">
        <f aca="false">$F8*P8</f>
        <v>9630.5853909375</v>
      </c>
      <c r="W8" s="12" t="n">
        <f aca="false">$F8*Q8</f>
        <v>9898.73308137656</v>
      </c>
      <c r="X8" s="12" t="n">
        <f aca="false">$F8*R8</f>
        <v>10174.4059557466</v>
      </c>
      <c r="Y8" s="12" t="n">
        <f aca="false">$F8*S8</f>
        <v>0</v>
      </c>
      <c r="Z8" s="20" t="s">
        <v>198</v>
      </c>
    </row>
    <row r="9" customFormat="false" ht="23.85" hidden="false" customHeight="false" outlineLevel="0" collapsed="false">
      <c r="A9" s="10" t="n">
        <v>4</v>
      </c>
      <c r="B9" s="25" t="s">
        <v>123</v>
      </c>
      <c r="C9" s="30" t="str">
        <f aca="false">INDEX(Parametri!$G$31:$G$52,MATCH($B9,Parametri!$A$31:$A$52,0))</f>
        <v>Maastricht</v>
      </c>
      <c r="D9" s="31" t="n">
        <f aca="false">INDEX(Parametri!$D$31:$D$52,MATCH($B9,Parametri!$A$31:$A$52,0))</f>
        <v>3</v>
      </c>
      <c r="E9" s="16" t="n">
        <v>0.65</v>
      </c>
      <c r="F9" s="23" t="n">
        <f aca="false">E9*EXP(SUMPRODUCT(LN(1-$E$6:E8+($E$6:E8=1)*0.000000000001)))</f>
        <v>0.14746875</v>
      </c>
      <c r="G9" s="11" t="n">
        <f aca="false">INDEX(Parametri!$B$31:$B$52,MATCH($B9,Parametri!$A$31:$A$52,0))</f>
        <v>2771</v>
      </c>
      <c r="H9" s="32" t="n">
        <f aca="false">INDEX(Parametri!$C$31:$C$52,MATCH($B9,Parametri!$A$31:$A$52,0))</f>
        <v>2027</v>
      </c>
      <c r="I9" s="11" t="n">
        <f aca="false">INDEX(Parametri!$B$14:$B$27,MATCH($C9,Parametri!$A$14:$A$27,0))</f>
        <v>23500</v>
      </c>
      <c r="J9" s="11" t="n">
        <f aca="false">INDEX(Parametri!$F$31:$F$52,MATCH($B9,Parametri!$A$31:$A$52,0))</f>
        <v>0</v>
      </c>
      <c r="K9" s="12" t="n">
        <f aca="false">INDEX(N9:S9,MATCH($F$3,$N$4:$S$4,0))</f>
        <v>27771.425</v>
      </c>
      <c r="L9" s="12" t="n">
        <f aca="false">SUM(N9:S9)</f>
        <v>85795.312331875</v>
      </c>
      <c r="M9" s="12" t="n">
        <f aca="false">F9*L9</f>
        <v>12652.1274654412</v>
      </c>
      <c r="N9" s="12" t="n">
        <f aca="false">IF(N$4&lt;$F$3,0,MAX(0,MIN(1,$D9-(N$4-$F$3+1)+1))*($G9*(1+INDEX(Parametri!$E$31:$E$52,MATCH($B9,Parametri!$A$31:$A$52,0)))^(N$4-$H9)+$I9*(1+Parametri!$B$5)^(N$4-Parametri!$B$6)+IF(N$4=$F$3,$J9,0)))</f>
        <v>0</v>
      </c>
      <c r="O9" s="12" t="n">
        <f aca="false">IF(O$4&lt;$F$3,0,MAX(0,MIN(1,$D9-(O$4-$F$3+1)+1))*($G9*(1+INDEX(Parametri!$E$31:$E$52,MATCH($B9,Parametri!$A$31:$A$52,0)))^(O$4-$H9)+$I9*(1+Parametri!$B$5)^(O$4-Parametri!$B$6)+IF(O$4=$F$3,$J9,0)))</f>
        <v>27771.425</v>
      </c>
      <c r="P9" s="12" t="n">
        <f aca="false">IF(P$4&lt;$F$3,0,MAX(0,MIN(1,$D9-(P$4-$F$3+1)+1))*($G9*(1+INDEX(Parametri!$E$31:$E$52,MATCH($B9,Parametri!$A$31:$A$52,0)))^(P$4-$H9)+$I9*(1+Parametri!$B$5)^(P$4-Parametri!$B$6)+IF(P$4=$F$3,$J9,0)))</f>
        <v>28590.366375</v>
      </c>
      <c r="Q9" s="12" t="n">
        <f aca="false">IF(Q$4&lt;$F$3,0,MAX(0,MIN(1,$D9-(Q$4-$F$3+1)+1))*($G9*(1+INDEX(Parametri!$E$31:$E$52,MATCH($B9,Parametri!$A$31:$A$52,0)))^(Q$4-$H9)+$I9*(1+Parametri!$B$5)^(Q$4-Parametri!$B$6)+IF(Q$4=$F$3,$J9,0)))</f>
        <v>29433.520956875</v>
      </c>
      <c r="R9" s="12" t="n">
        <f aca="false">IF(R$4&lt;$F$3,0,MAX(0,MIN(1,$D9-(R$4-$F$3+1)+1))*($G9*(1+INDEX(Parametri!$E$31:$E$52,MATCH($B9,Parametri!$A$31:$A$52,0)))^(R$4-$H9)+$I9*(1+Parametri!$B$5)^(R$4-Parametri!$B$6)+IF(R$4=$F$3,$J9,0)))</f>
        <v>0</v>
      </c>
      <c r="S9" s="12" t="n">
        <f aca="false">IF(S$4&lt;$F$3,0,MAX(0,MIN(1,$D9-(S$4-$F$3+1)+1))*($G9*(1+INDEX(Parametri!$E$31:$E$52,MATCH($B9,Parametri!$A$31:$A$52,0)))^(S$4-$H9)+$I9*(1+Parametri!$B$5)^(S$4-Parametri!$B$6)+IF(S$4=$F$3,$J9,0)))</f>
        <v>0</v>
      </c>
      <c r="T9" s="12" t="n">
        <f aca="false">$F9*N9</f>
        <v>0</v>
      </c>
      <c r="U9" s="12" t="n">
        <f aca="false">$F9*O9</f>
        <v>4095.41733046875</v>
      </c>
      <c r="V9" s="12" t="n">
        <f aca="false">$F9*P9</f>
        <v>4216.18559136328</v>
      </c>
      <c r="W9" s="12" t="n">
        <f aca="false">$F9*Q9</f>
        <v>4340.52454360916</v>
      </c>
      <c r="X9" s="12" t="n">
        <f aca="false">$F9*R9</f>
        <v>0</v>
      </c>
      <c r="Y9" s="12" t="n">
        <f aca="false">$F9*S9</f>
        <v>0</v>
      </c>
      <c r="Z9" s="20" t="s">
        <v>199</v>
      </c>
    </row>
    <row r="10" customFormat="false" ht="35.05" hidden="false" customHeight="false" outlineLevel="0" collapsed="false">
      <c r="A10" s="10" t="n">
        <v>5</v>
      </c>
      <c r="B10" s="25" t="s">
        <v>117</v>
      </c>
      <c r="C10" s="30" t="str">
        <f aca="false">INDEX(Parametri!$G$31:$G$52,MATCH($B10,Parametri!$A$31:$A$52,0))</f>
        <v>Amsterdam</v>
      </c>
      <c r="D10" s="31" t="n">
        <f aca="false">INDEX(Parametri!$D$31:$D$52,MATCH($B10,Parametri!$A$31:$A$52,0))</f>
        <v>3</v>
      </c>
      <c r="E10" s="16" t="n">
        <v>0.85</v>
      </c>
      <c r="F10" s="23" t="n">
        <f aca="false">E10*EXP(SUMPRODUCT(LN(1-$E$6:E9+($E$6:E9=1)*0.000000000001)))</f>
        <v>0.0674953125</v>
      </c>
      <c r="G10" s="11" t="n">
        <f aca="false">INDEX(Parametri!$B$31:$B$52,MATCH($B10,Parametri!$A$31:$A$52,0))</f>
        <v>2771</v>
      </c>
      <c r="H10" s="32" t="n">
        <f aca="false">INDEX(Parametri!$C$31:$C$52,MATCH($B10,Parametri!$A$31:$A$52,0))</f>
        <v>2027</v>
      </c>
      <c r="I10" s="11" t="n">
        <f aca="false">INDEX(Parametri!$B$14:$B$27,MATCH($C10,Parametri!$A$14:$A$27,0))</f>
        <v>30000</v>
      </c>
      <c r="J10" s="11" t="n">
        <f aca="false">INDEX(Parametri!$F$31:$F$52,MATCH($B10,Parametri!$A$31:$A$52,0))</f>
        <v>0</v>
      </c>
      <c r="K10" s="12" t="n">
        <f aca="false">INDEX(N10:S10,MATCH($F$3,$N$4:$S$4,0))</f>
        <v>34667.275</v>
      </c>
      <c r="L10" s="12" t="n">
        <f aca="false">SUM(N10:S10)</f>
        <v>107109.695096875</v>
      </c>
      <c r="M10" s="12" t="n">
        <f aca="false">F10*L10</f>
        <v>7229.4023423433</v>
      </c>
      <c r="N10" s="12" t="n">
        <f aca="false">IF(N$4&lt;$F$3,0,MAX(0,MIN(1,$D10-(N$4-$F$3+1)+1))*($G10*(1+INDEX(Parametri!$E$31:$E$52,MATCH($B10,Parametri!$A$31:$A$52,0)))^(N$4-$H10)+$I10*(1+Parametri!$B$5)^(N$4-Parametri!$B$6)+IF(N$4=$F$3,$J10,0)))</f>
        <v>0</v>
      </c>
      <c r="O10" s="12" t="n">
        <f aca="false">IF(O$4&lt;$F$3,0,MAX(0,MIN(1,$D10-(O$4-$F$3+1)+1))*($G10*(1+INDEX(Parametri!$E$31:$E$52,MATCH($B10,Parametri!$A$31:$A$52,0)))^(O$4-$H10)+$I10*(1+Parametri!$B$5)^(O$4-Parametri!$B$6)+IF(O$4=$F$3,$J10,0)))</f>
        <v>34667.275</v>
      </c>
      <c r="P10" s="12" t="n">
        <f aca="false">IF(P$4&lt;$F$3,0,MAX(0,MIN(1,$D10-(P$4-$F$3+1)+1))*($G10*(1+INDEX(Parametri!$E$31:$E$52,MATCH($B10,Parametri!$A$31:$A$52,0)))^(P$4-$H10)+$I10*(1+Parametri!$B$5)^(P$4-Parametri!$B$6)+IF(P$4=$F$3,$J10,0)))</f>
        <v>35693.091875</v>
      </c>
      <c r="Q10" s="12" t="n">
        <f aca="false">IF(Q$4&lt;$F$3,0,MAX(0,MIN(1,$D10-(Q$4-$F$3+1)+1))*($G10*(1+INDEX(Parametri!$E$31:$E$52,MATCH($B10,Parametri!$A$31:$A$52,0)))^(Q$4-$H10)+$I10*(1+Parametri!$B$5)^(Q$4-Parametri!$B$6)+IF(Q$4=$F$3,$J10,0)))</f>
        <v>36749.328221875</v>
      </c>
      <c r="R10" s="12" t="n">
        <f aca="false">IF(R$4&lt;$F$3,0,MAX(0,MIN(1,$D10-(R$4-$F$3+1)+1))*($G10*(1+INDEX(Parametri!$E$31:$E$52,MATCH($B10,Parametri!$A$31:$A$52,0)))^(R$4-$H10)+$I10*(1+Parametri!$B$5)^(R$4-Parametri!$B$6)+IF(R$4=$F$3,$J10,0)))</f>
        <v>0</v>
      </c>
      <c r="S10" s="12" t="n">
        <f aca="false">IF(S$4&lt;$F$3,0,MAX(0,MIN(1,$D10-(S$4-$F$3+1)+1))*($G10*(1+INDEX(Parametri!$E$31:$E$52,MATCH($B10,Parametri!$A$31:$A$52,0)))^(S$4-$H10)+$I10*(1+Parametri!$B$5)^(S$4-Parametri!$B$6)+IF(S$4=$F$3,$J10,0)))</f>
        <v>0</v>
      </c>
      <c r="T10" s="12" t="n">
        <f aca="false">$F10*N10</f>
        <v>0</v>
      </c>
      <c r="U10" s="12" t="n">
        <f aca="false">$F10*O10</f>
        <v>2339.87855964844</v>
      </c>
      <c r="V10" s="12" t="n">
        <f aca="false">$F10*P10</f>
        <v>2409.11639019434</v>
      </c>
      <c r="W10" s="12" t="n">
        <f aca="false">$F10*Q10</f>
        <v>2480.40739250052</v>
      </c>
      <c r="X10" s="12" t="n">
        <f aca="false">$F10*R10</f>
        <v>0</v>
      </c>
      <c r="Y10" s="12" t="n">
        <f aca="false">$F10*S10</f>
        <v>0</v>
      </c>
      <c r="Z10" s="20" t="s">
        <v>200</v>
      </c>
    </row>
    <row r="11" customFormat="false" ht="23.85" hidden="false" customHeight="false" outlineLevel="0" collapsed="false">
      <c r="A11" s="10" t="n">
        <v>6</v>
      </c>
      <c r="B11" s="25" t="s">
        <v>121</v>
      </c>
      <c r="C11" s="30" t="str">
        <f aca="false">INDEX(Parametri!$G$31:$G$52,MATCH($B11,Parametri!$A$31:$A$52,0))</f>
        <v>Tilburg</v>
      </c>
      <c r="D11" s="31" t="n">
        <f aca="false">INDEX(Parametri!$D$31:$D$52,MATCH($B11,Parametri!$A$31:$A$52,0))</f>
        <v>3</v>
      </c>
      <c r="E11" s="16" t="n">
        <v>0.9</v>
      </c>
      <c r="F11" s="23" t="n">
        <f aca="false">E11*EXP(SUMPRODUCT(LN(1-$E$6:E10+($E$6:E10=1)*0.000000000001)))</f>
        <v>0.01071984375</v>
      </c>
      <c r="G11" s="11" t="n">
        <f aca="false">INDEX(Parametri!$B$31:$B$52,MATCH($B11,Parametri!$A$31:$A$52,0))</f>
        <v>2771</v>
      </c>
      <c r="H11" s="32" t="n">
        <f aca="false">INDEX(Parametri!$C$31:$C$52,MATCH($B11,Parametri!$A$31:$A$52,0))</f>
        <v>2027</v>
      </c>
      <c r="I11" s="11" t="n">
        <f aca="false">INDEX(Parametri!$B$14:$B$27,MATCH($C11,Parametri!$A$14:$A$27,0))</f>
        <v>23000</v>
      </c>
      <c r="J11" s="11" t="n">
        <f aca="false">INDEX(Parametri!$F$31:$F$52,MATCH($B11,Parametri!$A$31:$A$52,0))</f>
        <v>0</v>
      </c>
      <c r="K11" s="12" t="n">
        <f aca="false">INDEX(N11:S11,MATCH($F$3,$N$4:$S$4,0))</f>
        <v>27240.975</v>
      </c>
      <c r="L11" s="12" t="n">
        <f aca="false">SUM(N11:S11)</f>
        <v>84155.744426875</v>
      </c>
      <c r="M11" s="12" t="n">
        <f aca="false">F11*L11</f>
        <v>902.136430921034</v>
      </c>
      <c r="N11" s="12" t="n">
        <f aca="false">IF(N$4&lt;$F$3,0,MAX(0,MIN(1,$D11-(N$4-$F$3+1)+1))*($G11*(1+INDEX(Parametri!$E$31:$E$52,MATCH($B11,Parametri!$A$31:$A$52,0)))^(N$4-$H11)+$I11*(1+Parametri!$B$5)^(N$4-Parametri!$B$6)+IF(N$4=$F$3,$J11,0)))</f>
        <v>0</v>
      </c>
      <c r="O11" s="12" t="n">
        <f aca="false">IF(O$4&lt;$F$3,0,MAX(0,MIN(1,$D11-(O$4-$F$3+1)+1))*($G11*(1+INDEX(Parametri!$E$31:$E$52,MATCH($B11,Parametri!$A$31:$A$52,0)))^(O$4-$H11)+$I11*(1+Parametri!$B$5)^(O$4-Parametri!$B$6)+IF(O$4=$F$3,$J11,0)))</f>
        <v>27240.975</v>
      </c>
      <c r="P11" s="12" t="n">
        <f aca="false">IF(P$4&lt;$F$3,0,MAX(0,MIN(1,$D11-(P$4-$F$3+1)+1))*($G11*(1+INDEX(Parametri!$E$31:$E$52,MATCH($B11,Parametri!$A$31:$A$52,0)))^(P$4-$H11)+$I11*(1+Parametri!$B$5)^(P$4-Parametri!$B$6)+IF(P$4=$F$3,$J11,0)))</f>
        <v>28044.002875</v>
      </c>
      <c r="Q11" s="12" t="n">
        <f aca="false">IF(Q$4&lt;$F$3,0,MAX(0,MIN(1,$D11-(Q$4-$F$3+1)+1))*($G11*(1+INDEX(Parametri!$E$31:$E$52,MATCH($B11,Parametri!$A$31:$A$52,0)))^(Q$4-$H11)+$I11*(1+Parametri!$B$5)^(Q$4-Parametri!$B$6)+IF(Q$4=$F$3,$J11,0)))</f>
        <v>28870.766551875</v>
      </c>
      <c r="R11" s="12" t="n">
        <f aca="false">IF(R$4&lt;$F$3,0,MAX(0,MIN(1,$D11-(R$4-$F$3+1)+1))*($G11*(1+INDEX(Parametri!$E$31:$E$52,MATCH($B11,Parametri!$A$31:$A$52,0)))^(R$4-$H11)+$I11*(1+Parametri!$B$5)^(R$4-Parametri!$B$6)+IF(R$4=$F$3,$J11,0)))</f>
        <v>0</v>
      </c>
      <c r="S11" s="12" t="n">
        <f aca="false">IF(S$4&lt;$F$3,0,MAX(0,MIN(1,$D11-(S$4-$F$3+1)+1))*($G11*(1+INDEX(Parametri!$E$31:$E$52,MATCH($B11,Parametri!$A$31:$A$52,0)))^(S$4-$H11)+$I11*(1+Parametri!$B$5)^(S$4-Parametri!$B$6)+IF(S$4=$F$3,$J11,0)))</f>
        <v>0</v>
      </c>
      <c r="T11" s="12" t="n">
        <f aca="false">$F11*N11</f>
        <v>0</v>
      </c>
      <c r="U11" s="12" t="n">
        <f aca="false">$F11*O11</f>
        <v>292.018995597656</v>
      </c>
      <c r="V11" s="12" t="n">
        <f aca="false">$F11*P11</f>
        <v>300.627328944551</v>
      </c>
      <c r="W11" s="12" t="n">
        <f aca="false">$F11*Q11</f>
        <v>309.490106378827</v>
      </c>
      <c r="X11" s="12" t="n">
        <f aca="false">$F11*R11</f>
        <v>0</v>
      </c>
      <c r="Y11" s="12" t="n">
        <f aca="false">$F11*S11</f>
        <v>0</v>
      </c>
      <c r="Z11" s="20" t="s">
        <v>201</v>
      </c>
    </row>
    <row r="12" customFormat="false" ht="15" hidden="false" customHeight="false" outlineLevel="0" collapsed="false">
      <c r="A12" s="10" t="n">
        <v>7</v>
      </c>
      <c r="B12" s="25" t="s">
        <v>107</v>
      </c>
      <c r="C12" s="30" t="str">
        <f aca="false">INDEX(Parametri!$G$31:$G$52,MATCH($B12,Parametri!$A$31:$A$52,0))</f>
        <v>Milano (a casa)</v>
      </c>
      <c r="D12" s="31" t="n">
        <f aca="false">INDEX(Parametri!$D$31:$D$52,MATCH($B12,Parametri!$A$31:$A$52,0))</f>
        <v>3</v>
      </c>
      <c r="E12" s="16" t="n">
        <v>1</v>
      </c>
      <c r="F12" s="23" t="n">
        <f aca="false">E12*EXP(SUMPRODUCT(LN(1-$E$6:E11+($E$6:E11=1)*0.000000000001)))</f>
        <v>0.00119109375</v>
      </c>
      <c r="G12" s="11" t="n">
        <f aca="false">INDEX(Parametri!$B$31:$B$52,MATCH($B12,Parametri!$A$31:$A$52,0))</f>
        <v>11500</v>
      </c>
      <c r="H12" s="32" t="n">
        <f aca="false">INDEX(Parametri!$C$31:$C$52,MATCH($B12,Parametri!$A$31:$A$52,0))</f>
        <v>2026</v>
      </c>
      <c r="I12" s="11" t="n">
        <f aca="false">INDEX(Parametri!$B$14:$B$27,MATCH($C12,Parametri!$A$14:$A$27,0))</f>
        <v>2800</v>
      </c>
      <c r="J12" s="11" t="n">
        <f aca="false">INDEX(Parametri!$F$31:$F$52,MATCH($B12,Parametri!$A$31:$A$52,0))</f>
        <v>0</v>
      </c>
      <c r="K12" s="12" t="n">
        <f aca="false">INDEX(N12:S12,MATCH($F$3,$N$4:$S$4,0))</f>
        <v>15052.7075</v>
      </c>
      <c r="L12" s="12" t="n">
        <f aca="false">SUM(N12:S12)</f>
        <v>46341.8581976875</v>
      </c>
      <c r="M12" s="12" t="n">
        <f aca="false">F12*L12</f>
        <v>55.1974976626518</v>
      </c>
      <c r="N12" s="12" t="n">
        <f aca="false">IF(N$4&lt;$F$3,0,MAX(0,MIN(1,$D12-(N$4-$F$3+1)+1))*($G12*(1+INDEX(Parametri!$E$31:$E$52,MATCH($B12,Parametri!$A$31:$A$52,0)))^(N$4-$H12)+$I12*(1+Parametri!$B$5)^(N$4-Parametri!$B$6)+IF(N$4=$F$3,$J12,0)))</f>
        <v>0</v>
      </c>
      <c r="O12" s="12" t="n">
        <f aca="false">IF(O$4&lt;$F$3,0,MAX(0,MIN(1,$D12-(O$4-$F$3+1)+1))*($G12*(1+INDEX(Parametri!$E$31:$E$52,MATCH($B12,Parametri!$A$31:$A$52,0)))^(O$4-$H12)+$I12*(1+Parametri!$B$5)^(O$4-Parametri!$B$6)+IF(O$4=$F$3,$J12,0)))</f>
        <v>15052.7075</v>
      </c>
      <c r="P12" s="12" t="n">
        <f aca="false">IF(P$4&lt;$F$3,0,MAX(0,MIN(1,$D12-(P$4-$F$3+1)+1))*($G12*(1+INDEX(Parametri!$E$31:$E$52,MATCH($B12,Parametri!$A$31:$A$52,0)))^(P$4-$H12)+$I12*(1+Parametri!$B$5)^(P$4-Parametri!$B$6)+IF(P$4=$F$3,$J12,0)))</f>
        <v>15443.8777875</v>
      </c>
      <c r="Q12" s="12" t="n">
        <f aca="false">IF(Q$4&lt;$F$3,0,MAX(0,MIN(1,$D12-(Q$4-$F$3+1)+1))*($G12*(1+INDEX(Parametri!$E$31:$E$52,MATCH($B12,Parametri!$A$31:$A$52,0)))^(Q$4-$H12)+$I12*(1+Parametri!$B$5)^(Q$4-Parametri!$B$6)+IF(Q$4=$F$3,$J12,0)))</f>
        <v>15845.2729101875</v>
      </c>
      <c r="R12" s="12" t="n">
        <f aca="false">IF(R$4&lt;$F$3,0,MAX(0,MIN(1,$D12-(R$4-$F$3+1)+1))*($G12*(1+INDEX(Parametri!$E$31:$E$52,MATCH($B12,Parametri!$A$31:$A$52,0)))^(R$4-$H12)+$I12*(1+Parametri!$B$5)^(R$4-Parametri!$B$6)+IF(R$4=$F$3,$J12,0)))</f>
        <v>0</v>
      </c>
      <c r="S12" s="12" t="n">
        <f aca="false">IF(S$4&lt;$F$3,0,MAX(0,MIN(1,$D12-(S$4-$F$3+1)+1))*($G12*(1+INDEX(Parametri!$E$31:$E$52,MATCH($B12,Parametri!$A$31:$A$52,0)))^(S$4-$H12)+$I12*(1+Parametri!$B$5)^(S$4-Parametri!$B$6)+IF(S$4=$F$3,$J12,0)))</f>
        <v>0</v>
      </c>
      <c r="T12" s="12" t="n">
        <f aca="false">$F12*N12</f>
        <v>0</v>
      </c>
      <c r="U12" s="12" t="n">
        <f aca="false">$F12*O12</f>
        <v>17.9291858238281</v>
      </c>
      <c r="V12" s="12" t="n">
        <f aca="false">$F12*P12</f>
        <v>18.3951063084551</v>
      </c>
      <c r="W12" s="12" t="n">
        <f aca="false">$F12*Q12</f>
        <v>18.8732055303686</v>
      </c>
      <c r="X12" s="12" t="n">
        <f aca="false">$F12*R12</f>
        <v>0</v>
      </c>
      <c r="Y12" s="12" t="n">
        <f aca="false">$F12*S12</f>
        <v>0</v>
      </c>
      <c r="Z12" s="20" t="s">
        <v>202</v>
      </c>
    </row>
    <row r="13" customFormat="false" ht="15" hidden="false" customHeight="false" outlineLevel="0" collapsed="false">
      <c r="A13" s="15"/>
      <c r="B13" s="13" t="s">
        <v>189</v>
      </c>
      <c r="C13" s="15"/>
      <c r="D13" s="15"/>
      <c r="E13" s="15"/>
      <c r="F13" s="33" t="n">
        <f aca="false">SUM(F6:F12)</f>
        <v>1</v>
      </c>
      <c r="G13" s="15"/>
      <c r="H13" s="15"/>
      <c r="I13" s="15"/>
      <c r="J13" s="15"/>
      <c r="K13" s="15"/>
      <c r="L13" s="15"/>
      <c r="M13" s="14" t="n">
        <f aca="false">SUM(M6:M12)</f>
        <v>111024.960192146</v>
      </c>
      <c r="N13" s="15"/>
      <c r="O13" s="15"/>
      <c r="P13" s="15"/>
      <c r="Q13" s="15"/>
      <c r="R13" s="15"/>
      <c r="S13" s="15"/>
      <c r="T13" s="14" t="n">
        <f aca="false">SUM(T6:T12)</f>
        <v>0</v>
      </c>
      <c r="U13" s="14" t="n">
        <f aca="false">SUM(U6:U12)</f>
        <v>32669.9362590387</v>
      </c>
      <c r="V13" s="14" t="n">
        <f aca="false">SUM(V6:V12)</f>
        <v>33607.8242824356</v>
      </c>
      <c r="W13" s="14" t="n">
        <f aca="false">SUM(W6:W12)</f>
        <v>34572.7936949251</v>
      </c>
      <c r="X13" s="14" t="n">
        <f aca="false">SUM(X6:X12)</f>
        <v>10174.4059557466</v>
      </c>
      <c r="Y13" s="14" t="n">
        <f aca="false">SUM(Y6:Y12)</f>
        <v>0</v>
      </c>
      <c r="Z13" s="34" t="s">
        <v>190</v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" hidden="false" customHeight="false" outlineLevel="0" collapsed="false">
      <c r="A15" s="5"/>
      <c r="B15" s="13" t="s">
        <v>191</v>
      </c>
      <c r="C15" s="34" t="str">
        <f aca="false">INDEX($B$6:$B$12,MATCH(MAX($F$6:$F$12),$F$6:$F$12,0))</f>
        <v>Rotterdam RSM — IBA</v>
      </c>
      <c r="D15" s="15"/>
      <c r="E15" s="15"/>
      <c r="F15" s="15"/>
      <c r="G15" s="15"/>
      <c r="H15" s="15"/>
      <c r="I15" s="15"/>
      <c r="J15" s="15"/>
      <c r="K15" s="15"/>
      <c r="L15" s="14" t="n">
        <f aca="false">INDEX($L$6:$L$12,MATCH(MAX($F$6:$F$12),$F$6:$F$12,0))</f>
        <v>93993.151856875</v>
      </c>
      <c r="M15" s="15"/>
      <c r="N15" s="35" t="n">
        <f aca="false">INDEX($N$6:$N$12,MATCH(MAX($F$6:$F$12),$F$6:$F$12,0))</f>
        <v>0</v>
      </c>
      <c r="O15" s="35" t="n">
        <f aca="false">INDEX($O$6:$O$12,MATCH(MAX($F$6:$F$12),$F$6:$F$12,0))</f>
        <v>30423.675</v>
      </c>
      <c r="P15" s="35" t="n">
        <f aca="false">INDEX($P$6:$P$12,MATCH(MAX($F$6:$F$12),$F$6:$F$12,0))</f>
        <v>31322.183875</v>
      </c>
      <c r="Q15" s="35" t="n">
        <f aca="false">INDEX($Q$6:$Q$12,MATCH(MAX($F$6:$F$12),$F$6:$F$12,0))</f>
        <v>32247.292981875</v>
      </c>
      <c r="R15" s="35" t="n">
        <f aca="false">INDEX($R$6:$R$12,MATCH(MAX($F$6:$F$12),$F$6:$F$12,0))</f>
        <v>0</v>
      </c>
      <c r="S15" s="35" t="n">
        <f aca="false">INDEX($S$6:$S$12,MATCH(MAX($F$6:$F$12),$F$6:$F$12,0))</f>
        <v>0</v>
      </c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5"/>
      <c r="B16" s="13" t="s">
        <v>192</v>
      </c>
      <c r="C16" s="34" t="str">
        <f aca="false">INDEX($B$6:$B$12,MATCH(_xlfn.MINIFS($L$6:$L$12,$F$6:$F$12,"&gt;="&amp;Parametri!$B$10),$L$6:$L$12,0))</f>
        <v>Bocconi — CLEAM/Management/BIEM</v>
      </c>
      <c r="D16" s="15"/>
      <c r="E16" s="15"/>
      <c r="F16" s="15"/>
      <c r="G16" s="15"/>
      <c r="H16" s="15"/>
      <c r="I16" s="15"/>
      <c r="J16" s="15"/>
      <c r="K16" s="15"/>
      <c r="L16" s="14" t="n">
        <f aca="false">INDEX($L$6:$L$12,MATCH(_xlfn.MINIFS($L$6:$L$12,$F$6:$F$12,"&gt;="&amp;Parametri!$B$10),$L$6:$L$12,0))</f>
        <v>64114.165033625</v>
      </c>
      <c r="M16" s="15"/>
      <c r="N16" s="35" t="n">
        <f aca="false">INDEX($N$6:$N$12,MATCH(_xlfn.MINIFS($L$6:$L$12,$F$6:$F$12,"&gt;="&amp;Parametri!$B$10),$L$6:$L$12,0))</f>
        <v>0</v>
      </c>
      <c r="O16" s="35" t="n">
        <f aca="false">INDEX($O$6:$O$12,MATCH(_xlfn.MINIFS($L$6:$L$12,$F$6:$F$12,"&gt;="&amp;Parametri!$B$10),$L$6:$L$12,0))</f>
        <v>20831.145</v>
      </c>
      <c r="P16" s="35" t="n">
        <f aca="false">INDEX($P$6:$P$12,MATCH(_xlfn.MINIFS($L$6:$L$12,$F$6:$F$12,"&gt;="&amp;Parametri!$B$10),$L$6:$L$12,0))</f>
        <v>21366.776225</v>
      </c>
      <c r="Q16" s="35" t="n">
        <f aca="false">INDEX($Q$6:$Q$12,MATCH(_xlfn.MINIFS($L$6:$L$12,$F$6:$F$12,"&gt;="&amp;Parametri!$B$10),$L$6:$L$12,0))</f>
        <v>21916.243808625</v>
      </c>
      <c r="R16" s="35" t="n">
        <f aca="false">INDEX($R$6:$R$12,MATCH(_xlfn.MINIFS($L$6:$L$12,$F$6:$F$12,"&gt;="&amp;Parametri!$B$10),$L$6:$L$12,0))</f>
        <v>0</v>
      </c>
      <c r="S16" s="35" t="n">
        <f aca="false">INDEX($S$6:$S$12,MATCH(_xlfn.MINIFS($L$6:$L$12,$F$6:$F$12,"&gt;="&amp;Parametri!$B$10),$L$6:$L$12,0))</f>
        <v>0</v>
      </c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/>
      <c r="B17" s="13" t="s">
        <v>193</v>
      </c>
      <c r="C17" s="34" t="str">
        <f aca="false">INDEX($B$6:$B$12,MATCH(_xlfn.MAXIFS($L$6:$L$12,$F$6:$F$12,"&gt;="&amp;Parametri!$B$10),$L$6:$L$12,0))</f>
        <v>ESADE Barcellona — BBA / GGELO</v>
      </c>
      <c r="D17" s="15"/>
      <c r="E17" s="15"/>
      <c r="F17" s="15"/>
      <c r="G17" s="15"/>
      <c r="H17" s="15"/>
      <c r="I17" s="15"/>
      <c r="J17" s="15"/>
      <c r="K17" s="15"/>
      <c r="L17" s="14" t="n">
        <f aca="false">INDEX($L$6:$L$12,MATCH(_xlfn.MAXIFS($L$6:$L$12,$F$6:$F$12,"&gt;="&amp;Parametri!$B$10),$L$6:$L$12,0))</f>
        <v>210496.864258913</v>
      </c>
      <c r="M17" s="15"/>
      <c r="N17" s="35" t="n">
        <f aca="false">INDEX($N$6:$N$12,MATCH(_xlfn.MAXIFS($L$6:$L$12,$F$6:$F$12,"&gt;="&amp;Parametri!$B$10),$L$6:$L$12,0))</f>
        <v>0</v>
      </c>
      <c r="O17" s="35" t="n">
        <f aca="false">INDEX($O$6:$O$12,MATCH(_xlfn.MAXIFS($L$6:$L$12,$F$6:$F$12,"&gt;="&amp;Parametri!$B$10),$L$6:$L$12,0))</f>
        <v>50476.8</v>
      </c>
      <c r="P17" s="35" t="n">
        <f aca="false">INDEX($P$6:$P$12,MATCH(_xlfn.MAXIFS($L$6:$L$12,$F$6:$F$12,"&gt;="&amp;Parametri!$B$10),$L$6:$L$12,0))</f>
        <v>51881.9415</v>
      </c>
      <c r="Q17" s="35" t="n">
        <f aca="false">INDEX($Q$6:$Q$12,MATCH(_xlfn.MAXIFS($L$6:$L$12,$F$6:$F$12,"&gt;="&amp;Parametri!$B$10),$L$6:$L$12,0))</f>
        <v>53326.5081825</v>
      </c>
      <c r="R17" s="35" t="n">
        <f aca="false">INDEX($R$6:$R$12,MATCH(_xlfn.MAXIFS($L$6:$L$12,$F$6:$F$12,"&gt;="&amp;Parametri!$B$10),$L$6:$L$12,0))</f>
        <v>54811.6145764125</v>
      </c>
      <c r="S17" s="35" t="n">
        <f aca="false">INDEX($S$6:$S$12,MATCH(_xlfn.MAXIFS($L$6:$L$12,$F$6:$F$12,"&gt;="&amp;Parametri!$B$10),$L$6:$L$12,0))</f>
        <v>0</v>
      </c>
      <c r="T17" s="5"/>
      <c r="U17" s="5"/>
      <c r="V17" s="5"/>
      <c r="W17" s="5"/>
      <c r="X17" s="5"/>
      <c r="Y17" s="5"/>
      <c r="Z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25" min="14" style="0" width="12"/>
    <col collapsed="false" customWidth="true" hidden="false" outlineLevel="0" max="26" min="26" style="0" width="50"/>
  </cols>
  <sheetData>
    <row r="1" customFormat="false" ht="17.35" hidden="false" customHeight="false" outlineLevel="0" collapsed="false">
      <c r="A1" s="4" t="s">
        <v>203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" hidden="false" customHeight="false" outlineLevel="0" collapsed="false">
      <c r="A2" s="26" t="s">
        <v>204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6" t="s">
        <v>152</v>
      </c>
      <c r="B3" s="5"/>
      <c r="C3" s="5"/>
      <c r="D3" s="5"/>
      <c r="E3" s="5"/>
      <c r="F3" s="27" t="n">
        <f aca="false">Parametri!$B$8</f>
        <v>2028</v>
      </c>
      <c r="G3" s="6" t="s">
        <v>153</v>
      </c>
      <c r="H3" s="5"/>
      <c r="I3" s="5"/>
      <c r="J3" s="5"/>
      <c r="K3" s="5"/>
      <c r="L3" s="5"/>
      <c r="M3" s="5"/>
      <c r="N3" s="28" t="s">
        <v>154</v>
      </c>
      <c r="O3" s="5"/>
      <c r="P3" s="5"/>
      <c r="Q3" s="5"/>
      <c r="R3" s="5"/>
      <c r="S3" s="5"/>
      <c r="T3" s="28" t="s">
        <v>155</v>
      </c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 t="n">
        <v>2027</v>
      </c>
      <c r="O4" s="29" t="n">
        <v>2028</v>
      </c>
      <c r="P4" s="29" t="n">
        <v>2029</v>
      </c>
      <c r="Q4" s="29" t="n">
        <v>2030</v>
      </c>
      <c r="R4" s="29" t="n">
        <v>2031</v>
      </c>
      <c r="S4" s="29" t="n">
        <v>2032</v>
      </c>
      <c r="T4" s="29" t="n">
        <v>2027</v>
      </c>
      <c r="U4" s="29" t="n">
        <v>2028</v>
      </c>
      <c r="V4" s="29" t="n">
        <v>2029</v>
      </c>
      <c r="W4" s="29" t="n">
        <v>2030</v>
      </c>
      <c r="X4" s="29" t="n">
        <v>2031</v>
      </c>
      <c r="Y4" s="29" t="n">
        <v>2032</v>
      </c>
      <c r="Z4" s="5"/>
    </row>
    <row r="5" customFormat="false" ht="42" hidden="false" customHeight="true" outlineLevel="0" collapsed="false">
      <c r="A5" s="21" t="s">
        <v>156</v>
      </c>
      <c r="B5" s="21" t="s">
        <v>157</v>
      </c>
      <c r="C5" s="21" t="s">
        <v>66</v>
      </c>
      <c r="D5" s="21" t="s">
        <v>101</v>
      </c>
      <c r="E5" s="21" t="s">
        <v>158</v>
      </c>
      <c r="F5" s="21" t="s">
        <v>159</v>
      </c>
      <c r="G5" s="21" t="s">
        <v>160</v>
      </c>
      <c r="H5" s="21" t="s">
        <v>161</v>
      </c>
      <c r="I5" s="21" t="s">
        <v>162</v>
      </c>
      <c r="J5" s="21" t="s">
        <v>163</v>
      </c>
      <c r="K5" s="21" t="s">
        <v>164</v>
      </c>
      <c r="L5" s="21" t="s">
        <v>165</v>
      </c>
      <c r="M5" s="21" t="s">
        <v>166</v>
      </c>
      <c r="N5" s="21" t="s">
        <v>167</v>
      </c>
      <c r="O5" s="21" t="s">
        <v>168</v>
      </c>
      <c r="P5" s="21" t="s">
        <v>169</v>
      </c>
      <c r="Q5" s="21" t="s">
        <v>170</v>
      </c>
      <c r="R5" s="21" t="s">
        <v>171</v>
      </c>
      <c r="S5" s="21" t="s">
        <v>172</v>
      </c>
      <c r="T5" s="21" t="s">
        <v>173</v>
      </c>
      <c r="U5" s="21" t="s">
        <v>174</v>
      </c>
      <c r="V5" s="21" t="s">
        <v>175</v>
      </c>
      <c r="W5" s="21" t="s">
        <v>176</v>
      </c>
      <c r="X5" s="21" t="s">
        <v>177</v>
      </c>
      <c r="Y5" s="21" t="s">
        <v>178</v>
      </c>
      <c r="Z5" s="21" t="s">
        <v>179</v>
      </c>
    </row>
    <row r="6" customFormat="false" ht="46.25" hidden="false" customHeight="false" outlineLevel="0" collapsed="false">
      <c r="A6" s="10" t="n">
        <v>1</v>
      </c>
      <c r="B6" s="25" t="s">
        <v>117</v>
      </c>
      <c r="C6" s="30" t="str">
        <f aca="false">INDEX(Parametri!$G$31:$G$52,MATCH($B6,Parametri!$A$31:$A$52,0))</f>
        <v>Amsterdam</v>
      </c>
      <c r="D6" s="31" t="n">
        <f aca="false">INDEX(Parametri!$D$31:$D$52,MATCH($B6,Parametri!$A$31:$A$52,0))</f>
        <v>3</v>
      </c>
      <c r="E6" s="16" t="n">
        <v>0.8</v>
      </c>
      <c r="F6" s="23" t="n">
        <f aca="false">E6</f>
        <v>0.8</v>
      </c>
      <c r="G6" s="11" t="n">
        <f aca="false">INDEX(Parametri!$B$31:$B$52,MATCH($B6,Parametri!$A$31:$A$52,0))</f>
        <v>2771</v>
      </c>
      <c r="H6" s="32" t="n">
        <f aca="false">INDEX(Parametri!$C$31:$C$52,MATCH($B6,Parametri!$A$31:$A$52,0))</f>
        <v>2027</v>
      </c>
      <c r="I6" s="11" t="n">
        <f aca="false">INDEX(Parametri!$B$14:$B$27,MATCH($C6,Parametri!$A$14:$A$27,0))</f>
        <v>30000</v>
      </c>
      <c r="J6" s="11" t="n">
        <f aca="false">INDEX(Parametri!$F$31:$F$52,MATCH($B6,Parametri!$A$31:$A$52,0))</f>
        <v>0</v>
      </c>
      <c r="K6" s="12" t="n">
        <f aca="false">INDEX(N6:S6,MATCH($F$3,$N$4:$S$4,0))</f>
        <v>34667.275</v>
      </c>
      <c r="L6" s="12" t="n">
        <f aca="false">SUM(N6:S6)</f>
        <v>107109.695096875</v>
      </c>
      <c r="M6" s="12" t="n">
        <f aca="false">F6*L6</f>
        <v>85687.7560775</v>
      </c>
      <c r="N6" s="12" t="n">
        <f aca="false">IF(N$4&lt;$F$3,0,MAX(0,MIN(1,$D6-(N$4-$F$3+1)+1))*($G6*(1+INDEX(Parametri!$E$31:$E$52,MATCH($B6,Parametri!$A$31:$A$52,0)))^(N$4-$H6)+$I6*(1+Parametri!$B$5)^(N$4-Parametri!$B$6)+IF(N$4=$F$3,$J6,0)))</f>
        <v>0</v>
      </c>
      <c r="O6" s="12" t="n">
        <f aca="false">IF(O$4&lt;$F$3,0,MAX(0,MIN(1,$D6-(O$4-$F$3+1)+1))*($G6*(1+INDEX(Parametri!$E$31:$E$52,MATCH($B6,Parametri!$A$31:$A$52,0)))^(O$4-$H6)+$I6*(1+Parametri!$B$5)^(O$4-Parametri!$B$6)+IF(O$4=$F$3,$J6,0)))</f>
        <v>34667.275</v>
      </c>
      <c r="P6" s="12" t="n">
        <f aca="false">IF(P$4&lt;$F$3,0,MAX(0,MIN(1,$D6-(P$4-$F$3+1)+1))*($G6*(1+INDEX(Parametri!$E$31:$E$52,MATCH($B6,Parametri!$A$31:$A$52,0)))^(P$4-$H6)+$I6*(1+Parametri!$B$5)^(P$4-Parametri!$B$6)+IF(P$4=$F$3,$J6,0)))</f>
        <v>35693.091875</v>
      </c>
      <c r="Q6" s="12" t="n">
        <f aca="false">IF(Q$4&lt;$F$3,0,MAX(0,MIN(1,$D6-(Q$4-$F$3+1)+1))*($G6*(1+INDEX(Parametri!$E$31:$E$52,MATCH($B6,Parametri!$A$31:$A$52,0)))^(Q$4-$H6)+$I6*(1+Parametri!$B$5)^(Q$4-Parametri!$B$6)+IF(Q$4=$F$3,$J6,0)))</f>
        <v>36749.328221875</v>
      </c>
      <c r="R6" s="12" t="n">
        <f aca="false">IF(R$4&lt;$F$3,0,MAX(0,MIN(1,$D6-(R$4-$F$3+1)+1))*($G6*(1+INDEX(Parametri!$E$31:$E$52,MATCH($B6,Parametri!$A$31:$A$52,0)))^(R$4-$H6)+$I6*(1+Parametri!$B$5)^(R$4-Parametri!$B$6)+IF(R$4=$F$3,$J6,0)))</f>
        <v>0</v>
      </c>
      <c r="S6" s="12" t="n">
        <f aca="false">IF(S$4&lt;$F$3,0,MAX(0,MIN(1,$D6-(S$4-$F$3+1)+1))*($G6*(1+INDEX(Parametri!$E$31:$E$52,MATCH($B6,Parametri!$A$31:$A$52,0)))^(S$4-$H6)+$I6*(1+Parametri!$B$5)^(S$4-Parametri!$B$6)+IF(S$4=$F$3,$J6,0)))</f>
        <v>0</v>
      </c>
      <c r="T6" s="12" t="n">
        <f aca="false">$F6*N6</f>
        <v>0</v>
      </c>
      <c r="U6" s="12" t="n">
        <f aca="false">$F6*O6</f>
        <v>27733.82</v>
      </c>
      <c r="V6" s="12" t="n">
        <f aca="false">$F6*P6</f>
        <v>28554.4735</v>
      </c>
      <c r="W6" s="12" t="n">
        <f aca="false">$F6*Q6</f>
        <v>29399.4625775</v>
      </c>
      <c r="X6" s="12" t="n">
        <f aca="false">$F6*R6</f>
        <v>0</v>
      </c>
      <c r="Y6" s="12" t="n">
        <f aca="false">$F6*S6</f>
        <v>0</v>
      </c>
      <c r="Z6" s="20" t="s">
        <v>205</v>
      </c>
    </row>
    <row r="7" customFormat="false" ht="35.05" hidden="false" customHeight="false" outlineLevel="0" collapsed="false">
      <c r="A7" s="10" t="n">
        <v>2</v>
      </c>
      <c r="B7" s="25" t="s">
        <v>135</v>
      </c>
      <c r="C7" s="30" t="str">
        <f aca="false">INDEX(Parametri!$G$31:$G$52,MATCH($B7,Parametri!$A$31:$A$52,0))</f>
        <v>Madrid</v>
      </c>
      <c r="D7" s="31" t="n">
        <f aca="false">INDEX(Parametri!$D$31:$D$52,MATCH($B7,Parametri!$A$31:$A$52,0))</f>
        <v>4</v>
      </c>
      <c r="E7" s="16" t="n">
        <v>0.55</v>
      </c>
      <c r="F7" s="23" t="n">
        <f aca="false">E7*EXP(SUMPRODUCT(LN(1-$E$6:E6+($E$6:E6=1)*0.000000000001)))</f>
        <v>0.11</v>
      </c>
      <c r="G7" s="11" t="n">
        <f aca="false">INDEX(Parametri!$B$31:$B$52,MATCH($B7,Parametri!$A$31:$A$52,0))</f>
        <v>29000</v>
      </c>
      <c r="H7" s="32" t="n">
        <f aca="false">INDEX(Parametri!$C$31:$C$52,MATCH($B7,Parametri!$A$31:$A$52,0))</f>
        <v>2026</v>
      </c>
      <c r="I7" s="11" t="n">
        <f aca="false">INDEX(Parametri!$B$14:$B$27,MATCH($C7,Parametri!$A$14:$A$27,0))</f>
        <v>26000</v>
      </c>
      <c r="J7" s="11" t="n">
        <f aca="false">INDEX(Parametri!$F$31:$F$52,MATCH($B7,Parametri!$A$31:$A$52,0))</f>
        <v>6350</v>
      </c>
      <c r="K7" s="12" t="n">
        <f aca="false">INDEX(N7:S7,MATCH($F$3,$N$4:$S$4,0))</f>
        <v>64639.789</v>
      </c>
      <c r="L7" s="12" t="n">
        <f aca="false">SUM(N7:S7)</f>
        <v>250021.169868517</v>
      </c>
      <c r="M7" s="12" t="n">
        <f aca="false">F7*L7</f>
        <v>27502.3286855369</v>
      </c>
      <c r="N7" s="12" t="n">
        <f aca="false">IF(N$4&lt;$F$3,0,MAX(0,MIN(1,$D7-(N$4-$F$3+1)+1))*($G7*(1+INDEX(Parametri!$E$31:$E$52,MATCH($B7,Parametri!$A$31:$A$52,0)))^(N$4-$H7)+$I7*(1+Parametri!$B$5)^(N$4-Parametri!$B$6)+IF(N$4=$F$3,$J7,0)))</f>
        <v>0</v>
      </c>
      <c r="O7" s="12" t="n">
        <f aca="false">IF(O$4&lt;$F$3,0,MAX(0,MIN(1,$D7-(O$4-$F$3+1)+1))*($G7*(1+INDEX(Parametri!$E$31:$E$52,MATCH($B7,Parametri!$A$31:$A$52,0)))^(O$4-$H7)+$I7*(1+Parametri!$B$5)^(O$4-Parametri!$B$6)+IF(O$4=$F$3,$J7,0)))</f>
        <v>64639.789</v>
      </c>
      <c r="P7" s="12" t="n">
        <f aca="false">IF(P$4&lt;$F$3,0,MAX(0,MIN(1,$D7-(P$4-$F$3+1)+1))*($G7*(1+INDEX(Parametri!$E$31:$E$52,MATCH($B7,Parametri!$A$31:$A$52,0)))^(P$4-$H7)+$I7*(1+Parametri!$B$5)^(P$4-Parametri!$B$6)+IF(P$4=$F$3,$J7,0)))</f>
        <v>60007.776281</v>
      </c>
      <c r="Q7" s="12" t="n">
        <f aca="false">IF(Q$4&lt;$F$3,0,MAX(0,MIN(1,$D7-(Q$4-$F$3+1)+1))*($G7*(1+INDEX(Parametri!$E$31:$E$52,MATCH($B7,Parametri!$A$31:$A$52,0)))^(Q$4-$H7)+$I7*(1+Parametri!$B$5)^(Q$4-Parametri!$B$6)+IF(Q$4=$F$3,$J7,0)))</f>
        <v>61776.412695149</v>
      </c>
      <c r="R7" s="12" t="n">
        <f aca="false">IF(R$4&lt;$F$3,0,MAX(0,MIN(1,$D7-(R$4-$F$3+1)+1))*($G7*(1+INDEX(Parametri!$E$31:$E$52,MATCH($B7,Parametri!$A$31:$A$52,0)))^(R$4-$H7)+$I7*(1+Parametri!$B$5)^(R$4-Parametri!$B$6)+IF(R$4=$F$3,$J7,0)))</f>
        <v>63597.1918923683</v>
      </c>
      <c r="S7" s="12" t="n">
        <f aca="false">IF(S$4&lt;$F$3,0,MAX(0,MIN(1,$D7-(S$4-$F$3+1)+1))*($G7*(1+INDEX(Parametri!$E$31:$E$52,MATCH($B7,Parametri!$A$31:$A$52,0)))^(S$4-$H7)+$I7*(1+Parametri!$B$5)^(S$4-Parametri!$B$6)+IF(S$4=$F$3,$J7,0)))</f>
        <v>0</v>
      </c>
      <c r="T7" s="12" t="n">
        <f aca="false">$F7*N7</f>
        <v>0</v>
      </c>
      <c r="U7" s="12" t="n">
        <f aca="false">$F7*O7</f>
        <v>7110.37679</v>
      </c>
      <c r="V7" s="12" t="n">
        <f aca="false">$F7*P7</f>
        <v>6600.85539091</v>
      </c>
      <c r="W7" s="12" t="n">
        <f aca="false">$F7*Q7</f>
        <v>6795.40539646639</v>
      </c>
      <c r="X7" s="12" t="n">
        <f aca="false">$F7*R7</f>
        <v>6995.69110816051</v>
      </c>
      <c r="Y7" s="12" t="n">
        <f aca="false">$F7*S7</f>
        <v>0</v>
      </c>
      <c r="Z7" s="20" t="s">
        <v>206</v>
      </c>
    </row>
    <row r="8" customFormat="false" ht="23.85" hidden="false" customHeight="false" outlineLevel="0" collapsed="false">
      <c r="A8" s="10" t="n">
        <v>3</v>
      </c>
      <c r="B8" s="25" t="s">
        <v>123</v>
      </c>
      <c r="C8" s="30" t="str">
        <f aca="false">INDEX(Parametri!$G$31:$G$52,MATCH($B8,Parametri!$A$31:$A$52,0))</f>
        <v>Maastricht</v>
      </c>
      <c r="D8" s="31" t="n">
        <f aca="false">INDEX(Parametri!$D$31:$D$52,MATCH($B8,Parametri!$A$31:$A$52,0))</f>
        <v>3</v>
      </c>
      <c r="E8" s="16" t="n">
        <v>0.5</v>
      </c>
      <c r="F8" s="23" t="n">
        <f aca="false">E8*EXP(SUMPRODUCT(LN(1-$E$6:E7+($E$6:E7=1)*0.000000000001)))</f>
        <v>0.045</v>
      </c>
      <c r="G8" s="11" t="n">
        <f aca="false">INDEX(Parametri!$B$31:$B$52,MATCH($B8,Parametri!$A$31:$A$52,0))</f>
        <v>2771</v>
      </c>
      <c r="H8" s="32" t="n">
        <f aca="false">INDEX(Parametri!$C$31:$C$52,MATCH($B8,Parametri!$A$31:$A$52,0))</f>
        <v>2027</v>
      </c>
      <c r="I8" s="11" t="n">
        <f aca="false">INDEX(Parametri!$B$14:$B$27,MATCH($C8,Parametri!$A$14:$A$27,0))</f>
        <v>23500</v>
      </c>
      <c r="J8" s="11" t="n">
        <f aca="false">INDEX(Parametri!$F$31:$F$52,MATCH($B8,Parametri!$A$31:$A$52,0))</f>
        <v>0</v>
      </c>
      <c r="K8" s="12" t="n">
        <f aca="false">INDEX(N8:S8,MATCH($F$3,$N$4:$S$4,0))</f>
        <v>27771.425</v>
      </c>
      <c r="L8" s="12" t="n">
        <f aca="false">SUM(N8:S8)</f>
        <v>85795.312331875</v>
      </c>
      <c r="M8" s="12" t="n">
        <f aca="false">F8*L8</f>
        <v>3860.78905493437</v>
      </c>
      <c r="N8" s="12" t="n">
        <f aca="false">IF(N$4&lt;$F$3,0,MAX(0,MIN(1,$D8-(N$4-$F$3+1)+1))*($G8*(1+INDEX(Parametri!$E$31:$E$52,MATCH($B8,Parametri!$A$31:$A$52,0)))^(N$4-$H8)+$I8*(1+Parametri!$B$5)^(N$4-Parametri!$B$6)+IF(N$4=$F$3,$J8,0)))</f>
        <v>0</v>
      </c>
      <c r="O8" s="12" t="n">
        <f aca="false">IF(O$4&lt;$F$3,0,MAX(0,MIN(1,$D8-(O$4-$F$3+1)+1))*($G8*(1+INDEX(Parametri!$E$31:$E$52,MATCH($B8,Parametri!$A$31:$A$52,0)))^(O$4-$H8)+$I8*(1+Parametri!$B$5)^(O$4-Parametri!$B$6)+IF(O$4=$F$3,$J8,0)))</f>
        <v>27771.425</v>
      </c>
      <c r="P8" s="12" t="n">
        <f aca="false">IF(P$4&lt;$F$3,0,MAX(0,MIN(1,$D8-(P$4-$F$3+1)+1))*($G8*(1+INDEX(Parametri!$E$31:$E$52,MATCH($B8,Parametri!$A$31:$A$52,0)))^(P$4-$H8)+$I8*(1+Parametri!$B$5)^(P$4-Parametri!$B$6)+IF(P$4=$F$3,$J8,0)))</f>
        <v>28590.366375</v>
      </c>
      <c r="Q8" s="12" t="n">
        <f aca="false">IF(Q$4&lt;$F$3,0,MAX(0,MIN(1,$D8-(Q$4-$F$3+1)+1))*($G8*(1+INDEX(Parametri!$E$31:$E$52,MATCH($B8,Parametri!$A$31:$A$52,0)))^(Q$4-$H8)+$I8*(1+Parametri!$B$5)^(Q$4-Parametri!$B$6)+IF(Q$4=$F$3,$J8,0)))</f>
        <v>29433.520956875</v>
      </c>
      <c r="R8" s="12" t="n">
        <f aca="false">IF(R$4&lt;$F$3,0,MAX(0,MIN(1,$D8-(R$4-$F$3+1)+1))*($G8*(1+INDEX(Parametri!$E$31:$E$52,MATCH($B8,Parametri!$A$31:$A$52,0)))^(R$4-$H8)+$I8*(1+Parametri!$B$5)^(R$4-Parametri!$B$6)+IF(R$4=$F$3,$J8,0)))</f>
        <v>0</v>
      </c>
      <c r="S8" s="12" t="n">
        <f aca="false">IF(S$4&lt;$F$3,0,MAX(0,MIN(1,$D8-(S$4-$F$3+1)+1))*($G8*(1+INDEX(Parametri!$E$31:$E$52,MATCH($B8,Parametri!$A$31:$A$52,0)))^(S$4-$H8)+$I8*(1+Parametri!$B$5)^(S$4-Parametri!$B$6)+IF(S$4=$F$3,$J8,0)))</f>
        <v>0</v>
      </c>
      <c r="T8" s="12" t="n">
        <f aca="false">$F8*N8</f>
        <v>0</v>
      </c>
      <c r="U8" s="12" t="n">
        <f aca="false">$F8*O8</f>
        <v>1249.714125</v>
      </c>
      <c r="V8" s="12" t="n">
        <f aca="false">$F8*P8</f>
        <v>1286.566486875</v>
      </c>
      <c r="W8" s="12" t="n">
        <f aca="false">$F8*Q8</f>
        <v>1324.50844305938</v>
      </c>
      <c r="X8" s="12" t="n">
        <f aca="false">$F8*R8</f>
        <v>0</v>
      </c>
      <c r="Y8" s="12" t="n">
        <f aca="false">$F8*S8</f>
        <v>0</v>
      </c>
      <c r="Z8" s="20" t="s">
        <v>207</v>
      </c>
    </row>
    <row r="9" customFormat="false" ht="23.85" hidden="false" customHeight="false" outlineLevel="0" collapsed="false">
      <c r="A9" s="10" t="n">
        <v>4</v>
      </c>
      <c r="B9" s="25" t="s">
        <v>137</v>
      </c>
      <c r="C9" s="30" t="str">
        <f aca="false">INDEX(Parametri!$G$31:$G$52,MATCH($B9,Parametri!$A$31:$A$52,0))</f>
        <v>Barcellona</v>
      </c>
      <c r="D9" s="31" t="n">
        <f aca="false">INDEX(Parametri!$D$31:$D$52,MATCH($B9,Parametri!$A$31:$A$52,0))</f>
        <v>4</v>
      </c>
      <c r="E9" s="16" t="n">
        <v>0.45</v>
      </c>
      <c r="F9" s="23" t="n">
        <f aca="false">E9*EXP(SUMPRODUCT(LN(1-$E$6:E8+($E$6:E8=1)*0.000000000001)))</f>
        <v>0.02025</v>
      </c>
      <c r="G9" s="11" t="n">
        <f aca="false">INDEX(Parametri!$B$31:$B$52,MATCH($B9,Parametri!$A$31:$A$52,0))</f>
        <v>21300</v>
      </c>
      <c r="H9" s="32" t="n">
        <f aca="false">INDEX(Parametri!$C$31:$C$52,MATCH($B9,Parametri!$A$31:$A$52,0))</f>
        <v>2027</v>
      </c>
      <c r="I9" s="11" t="n">
        <f aca="false">INDEX(Parametri!$B$14:$B$27,MATCH($C9,Parametri!$A$14:$A$27,0))</f>
        <v>27000</v>
      </c>
      <c r="J9" s="11" t="n">
        <f aca="false">INDEX(Parametri!$F$31:$F$52,MATCH($B9,Parametri!$A$31:$A$52,0))</f>
        <v>0</v>
      </c>
      <c r="K9" s="12" t="n">
        <f aca="false">INDEX(N9:S9,MATCH($F$3,$N$4:$S$4,0))</f>
        <v>50476.8</v>
      </c>
      <c r="L9" s="12" t="n">
        <f aca="false">SUM(N9:S9)</f>
        <v>210496.864258913</v>
      </c>
      <c r="M9" s="12" t="n">
        <f aca="false">F9*L9</f>
        <v>4262.56150124298</v>
      </c>
      <c r="N9" s="12" t="n">
        <f aca="false">IF(N$4&lt;$F$3,0,MAX(0,MIN(1,$D9-(N$4-$F$3+1)+1))*($G9*(1+INDEX(Parametri!$E$31:$E$52,MATCH($B9,Parametri!$A$31:$A$52,0)))^(N$4-$H9)+$I9*(1+Parametri!$B$5)^(N$4-Parametri!$B$6)+IF(N$4=$F$3,$J9,0)))</f>
        <v>0</v>
      </c>
      <c r="O9" s="12" t="n">
        <f aca="false">IF(O$4&lt;$F$3,0,MAX(0,MIN(1,$D9-(O$4-$F$3+1)+1))*($G9*(1+INDEX(Parametri!$E$31:$E$52,MATCH($B9,Parametri!$A$31:$A$52,0)))^(O$4-$H9)+$I9*(1+Parametri!$B$5)^(O$4-Parametri!$B$6)+IF(O$4=$F$3,$J9,0)))</f>
        <v>50476.8</v>
      </c>
      <c r="P9" s="12" t="n">
        <f aca="false">IF(P$4&lt;$F$3,0,MAX(0,MIN(1,$D9-(P$4-$F$3+1)+1))*($G9*(1+INDEX(Parametri!$E$31:$E$52,MATCH($B9,Parametri!$A$31:$A$52,0)))^(P$4-$H9)+$I9*(1+Parametri!$B$5)^(P$4-Parametri!$B$6)+IF(P$4=$F$3,$J9,0)))</f>
        <v>51881.9415</v>
      </c>
      <c r="Q9" s="12" t="n">
        <f aca="false">IF(Q$4&lt;$F$3,0,MAX(0,MIN(1,$D9-(Q$4-$F$3+1)+1))*($G9*(1+INDEX(Parametri!$E$31:$E$52,MATCH($B9,Parametri!$A$31:$A$52,0)))^(Q$4-$H9)+$I9*(1+Parametri!$B$5)^(Q$4-Parametri!$B$6)+IF(Q$4=$F$3,$J9,0)))</f>
        <v>53326.5081825</v>
      </c>
      <c r="R9" s="12" t="n">
        <f aca="false">IF(R$4&lt;$F$3,0,MAX(0,MIN(1,$D9-(R$4-$F$3+1)+1))*($G9*(1+INDEX(Parametri!$E$31:$E$52,MATCH($B9,Parametri!$A$31:$A$52,0)))^(R$4-$H9)+$I9*(1+Parametri!$B$5)^(R$4-Parametri!$B$6)+IF(R$4=$F$3,$J9,0)))</f>
        <v>54811.6145764125</v>
      </c>
      <c r="S9" s="12" t="n">
        <f aca="false">IF(S$4&lt;$F$3,0,MAX(0,MIN(1,$D9-(S$4-$F$3+1)+1))*($G9*(1+INDEX(Parametri!$E$31:$E$52,MATCH($B9,Parametri!$A$31:$A$52,0)))^(S$4-$H9)+$I9*(1+Parametri!$B$5)^(S$4-Parametri!$B$6)+IF(S$4=$F$3,$J9,0)))</f>
        <v>0</v>
      </c>
      <c r="T9" s="12" t="n">
        <f aca="false">$F9*N9</f>
        <v>0</v>
      </c>
      <c r="U9" s="12" t="n">
        <f aca="false">$F9*O9</f>
        <v>1022.1552</v>
      </c>
      <c r="V9" s="12" t="n">
        <f aca="false">$F9*P9</f>
        <v>1050.609315375</v>
      </c>
      <c r="W9" s="12" t="n">
        <f aca="false">$F9*Q9</f>
        <v>1079.86179069562</v>
      </c>
      <c r="X9" s="12" t="n">
        <f aca="false">$F9*R9</f>
        <v>1109.93519517235</v>
      </c>
      <c r="Y9" s="12" t="n">
        <f aca="false">$F9*S9</f>
        <v>0</v>
      </c>
      <c r="Z9" s="20" t="s">
        <v>208</v>
      </c>
    </row>
    <row r="10" customFormat="false" ht="23.85" hidden="false" customHeight="false" outlineLevel="0" collapsed="false">
      <c r="A10" s="10" t="n">
        <v>5</v>
      </c>
      <c r="B10" s="25" t="s">
        <v>133</v>
      </c>
      <c r="C10" s="30" t="str">
        <f aca="false">INDEX(Parametri!$G$31:$G$52,MATCH($B10,Parametri!$A$31:$A$52,0))</f>
        <v>Forward College (Lisbona/Parigi/Berlino)</v>
      </c>
      <c r="D10" s="31" t="n">
        <f aca="false">INDEX(Parametri!$D$31:$D$52,MATCH($B10,Parametri!$A$31:$A$52,0))</f>
        <v>3</v>
      </c>
      <c r="E10" s="16" t="n">
        <v>0.45</v>
      </c>
      <c r="F10" s="23" t="n">
        <f aca="false">E10*EXP(SUMPRODUCT(LN(1-$E$6:E9+($E$6:E9=1)*0.000000000001)))</f>
        <v>0.0111375</v>
      </c>
      <c r="G10" s="11" t="n">
        <f aca="false">INDEX(Parametri!$B$31:$B$52,MATCH($B10,Parametri!$A$31:$A$52,0))</f>
        <v>21850</v>
      </c>
      <c r="H10" s="32" t="n">
        <f aca="false">INDEX(Parametri!$C$31:$C$52,MATCH($B10,Parametri!$A$31:$A$52,0))</f>
        <v>2027</v>
      </c>
      <c r="I10" s="11" t="n">
        <f aca="false">INDEX(Parametri!$B$14:$B$27,MATCH($C10,Parametri!$A$14:$A$27,0))</f>
        <v>21700</v>
      </c>
      <c r="J10" s="11" t="n">
        <f aca="false">INDEX(Parametri!$F$31:$F$52,MATCH($B10,Parametri!$A$31:$A$52,0))</f>
        <v>70</v>
      </c>
      <c r="K10" s="12" t="n">
        <f aca="false">INDEX(N10:S10,MATCH($F$3,$N$4:$S$4,0))</f>
        <v>46034.03</v>
      </c>
      <c r="L10" s="12" t="n">
        <f aca="false">SUM(N10:S10)</f>
        <v>143553.478327</v>
      </c>
      <c r="M10" s="12" t="n">
        <f aca="false">F10*L10</f>
        <v>1598.82686486696</v>
      </c>
      <c r="N10" s="12" t="n">
        <f aca="false">IF(N$4&lt;$F$3,0,MAX(0,MIN(1,$D10-(N$4-$F$3+1)+1))*($G10*(1+INDEX(Parametri!$E$31:$E$52,MATCH($B10,Parametri!$A$31:$A$52,0)))^(N$4-$H10)+$I10*(1+Parametri!$B$5)^(N$4-Parametri!$B$6)+IF(N$4=$F$3,$J10,0)))</f>
        <v>0</v>
      </c>
      <c r="O10" s="12" t="n">
        <f aca="false">IF(O$4&lt;$F$3,0,MAX(0,MIN(1,$D10-(O$4-$F$3+1)+1))*($G10*(1+INDEX(Parametri!$E$31:$E$52,MATCH($B10,Parametri!$A$31:$A$52,0)))^(O$4-$H10)+$I10*(1+Parametri!$B$5)^(O$4-Parametri!$B$6)+IF(O$4=$F$3,$J10,0)))</f>
        <v>46034.03</v>
      </c>
      <c r="P10" s="12" t="n">
        <f aca="false">IF(P$4&lt;$F$3,0,MAX(0,MIN(1,$D10-(P$4-$F$3+1)+1))*($G10*(1+INDEX(Parametri!$E$31:$E$52,MATCH($B10,Parametri!$A$31:$A$52,0)))^(P$4-$H10)+$I10*(1+Parametri!$B$5)^(P$4-Parametri!$B$6)+IF(P$4=$F$3,$J10,0)))</f>
        <v>47801.8009</v>
      </c>
      <c r="Q10" s="12" t="n">
        <f aca="false">IF(Q$4&lt;$F$3,0,MAX(0,MIN(1,$D10-(Q$4-$F$3+1)+1))*($G10*(1+INDEX(Parametri!$E$31:$E$52,MATCH($B10,Parametri!$A$31:$A$52,0)))^(Q$4-$H10)+$I10*(1+Parametri!$B$5)^(Q$4-Parametri!$B$6)+IF(Q$4=$F$3,$J10,0)))</f>
        <v>49717.647427</v>
      </c>
      <c r="R10" s="12" t="n">
        <f aca="false">IF(R$4&lt;$F$3,0,MAX(0,MIN(1,$D10-(R$4-$F$3+1)+1))*($G10*(1+INDEX(Parametri!$E$31:$E$52,MATCH($B10,Parametri!$A$31:$A$52,0)))^(R$4-$H10)+$I10*(1+Parametri!$B$5)^(R$4-Parametri!$B$6)+IF(R$4=$F$3,$J10,0)))</f>
        <v>0</v>
      </c>
      <c r="S10" s="12" t="n">
        <f aca="false">IF(S$4&lt;$F$3,0,MAX(0,MIN(1,$D10-(S$4-$F$3+1)+1))*($G10*(1+INDEX(Parametri!$E$31:$E$52,MATCH($B10,Parametri!$A$31:$A$52,0)))^(S$4-$H10)+$I10*(1+Parametri!$B$5)^(S$4-Parametri!$B$6)+IF(S$4=$F$3,$J10,0)))</f>
        <v>0</v>
      </c>
      <c r="T10" s="12" t="n">
        <f aca="false">$F10*N10</f>
        <v>0</v>
      </c>
      <c r="U10" s="12" t="n">
        <f aca="false">$F10*O10</f>
        <v>512.704009125</v>
      </c>
      <c r="V10" s="12" t="n">
        <f aca="false">$F10*P10</f>
        <v>532.39255752375</v>
      </c>
      <c r="W10" s="12" t="n">
        <f aca="false">$F10*Q10</f>
        <v>553.730298218213</v>
      </c>
      <c r="X10" s="12" t="n">
        <f aca="false">$F10*R10</f>
        <v>0</v>
      </c>
      <c r="Y10" s="12" t="n">
        <f aca="false">$F10*S10</f>
        <v>0</v>
      </c>
      <c r="Z10" s="20" t="s">
        <v>209</v>
      </c>
    </row>
    <row r="11" customFormat="false" ht="23.85" hidden="false" customHeight="false" outlineLevel="0" collapsed="false">
      <c r="A11" s="10" t="n">
        <v>6</v>
      </c>
      <c r="B11" s="25" t="s">
        <v>105</v>
      </c>
      <c r="C11" s="30" t="str">
        <f aca="false">INDEX(Parametri!$G$31:$G$52,MATCH($B11,Parametri!$A$31:$A$52,0))</f>
        <v>Milano (a casa)</v>
      </c>
      <c r="D11" s="31" t="n">
        <f aca="false">INDEX(Parametri!$D$31:$D$52,MATCH($B11,Parametri!$A$31:$A$52,0))</f>
        <v>3</v>
      </c>
      <c r="E11" s="16" t="n">
        <v>0.15</v>
      </c>
      <c r="F11" s="23" t="n">
        <f aca="false">E11*EXP(SUMPRODUCT(LN(1-$E$6:E10+($E$6:E10=1)*0.000000000001)))</f>
        <v>0.002041875</v>
      </c>
      <c r="G11" s="11" t="n">
        <f aca="false">INDEX(Parametri!$B$31:$B$52,MATCH($B11,Parametri!$A$31:$A$52,0))</f>
        <v>17000</v>
      </c>
      <c r="H11" s="32" t="n">
        <f aca="false">INDEX(Parametri!$C$31:$C$52,MATCH($B11,Parametri!$A$31:$A$52,0))</f>
        <v>2026</v>
      </c>
      <c r="I11" s="11" t="n">
        <f aca="false">INDEX(Parametri!$B$14:$B$27,MATCH($C11,Parametri!$A$14:$A$27,0))</f>
        <v>2800</v>
      </c>
      <c r="J11" s="11" t="n">
        <f aca="false">INDEX(Parametri!$F$31:$F$52,MATCH($B11,Parametri!$A$31:$A$52,0))</f>
        <v>0</v>
      </c>
      <c r="K11" s="12" t="n">
        <f aca="false">INDEX(N11:S11,MATCH($F$3,$N$4:$S$4,0))</f>
        <v>20831.145</v>
      </c>
      <c r="L11" s="12" t="n">
        <f aca="false">SUM(N11:S11)</f>
        <v>64114.165033625</v>
      </c>
      <c r="M11" s="12" t="n">
        <f aca="false">F11*L11</f>
        <v>130.913110728033</v>
      </c>
      <c r="N11" s="12" t="n">
        <f aca="false">IF(N$4&lt;$F$3,0,MAX(0,MIN(1,$D11-(N$4-$F$3+1)+1))*($G11*(1+INDEX(Parametri!$E$31:$E$52,MATCH($B11,Parametri!$A$31:$A$52,0)))^(N$4-$H11)+$I11*(1+Parametri!$B$5)^(N$4-Parametri!$B$6)+IF(N$4=$F$3,$J11,0)))</f>
        <v>0</v>
      </c>
      <c r="O11" s="12" t="n">
        <f aca="false">IF(O$4&lt;$F$3,0,MAX(0,MIN(1,$D11-(O$4-$F$3+1)+1))*($G11*(1+INDEX(Parametri!$E$31:$E$52,MATCH($B11,Parametri!$A$31:$A$52,0)))^(O$4-$H11)+$I11*(1+Parametri!$B$5)^(O$4-Parametri!$B$6)+IF(O$4=$F$3,$J11,0)))</f>
        <v>20831.145</v>
      </c>
      <c r="P11" s="12" t="n">
        <f aca="false">IF(P$4&lt;$F$3,0,MAX(0,MIN(1,$D11-(P$4-$F$3+1)+1))*($G11*(1+INDEX(Parametri!$E$31:$E$52,MATCH($B11,Parametri!$A$31:$A$52,0)))^(P$4-$H11)+$I11*(1+Parametri!$B$5)^(P$4-Parametri!$B$6)+IF(P$4=$F$3,$J11,0)))</f>
        <v>21366.776225</v>
      </c>
      <c r="Q11" s="12" t="n">
        <f aca="false">IF(Q$4&lt;$F$3,0,MAX(0,MIN(1,$D11-(Q$4-$F$3+1)+1))*($G11*(1+INDEX(Parametri!$E$31:$E$52,MATCH($B11,Parametri!$A$31:$A$52,0)))^(Q$4-$H11)+$I11*(1+Parametri!$B$5)^(Q$4-Parametri!$B$6)+IF(Q$4=$F$3,$J11,0)))</f>
        <v>21916.243808625</v>
      </c>
      <c r="R11" s="12" t="n">
        <f aca="false">IF(R$4&lt;$F$3,0,MAX(0,MIN(1,$D11-(R$4-$F$3+1)+1))*($G11*(1+INDEX(Parametri!$E$31:$E$52,MATCH($B11,Parametri!$A$31:$A$52,0)))^(R$4-$H11)+$I11*(1+Parametri!$B$5)^(R$4-Parametri!$B$6)+IF(R$4=$F$3,$J11,0)))</f>
        <v>0</v>
      </c>
      <c r="S11" s="12" t="n">
        <f aca="false">IF(S$4&lt;$F$3,0,MAX(0,MIN(1,$D11-(S$4-$F$3+1)+1))*($G11*(1+INDEX(Parametri!$E$31:$E$52,MATCH($B11,Parametri!$A$31:$A$52,0)))^(S$4-$H11)+$I11*(1+Parametri!$B$5)^(S$4-Parametri!$B$6)+IF(S$4=$F$3,$J11,0)))</f>
        <v>0</v>
      </c>
      <c r="T11" s="12" t="n">
        <f aca="false">$F11*N11</f>
        <v>0</v>
      </c>
      <c r="U11" s="12" t="n">
        <f aca="false">$F11*O11</f>
        <v>42.534594196875</v>
      </c>
      <c r="V11" s="12" t="n">
        <f aca="false">$F11*P11</f>
        <v>43.6282862044219</v>
      </c>
      <c r="W11" s="12" t="n">
        <f aca="false">$F11*Q11</f>
        <v>44.7502303267361</v>
      </c>
      <c r="X11" s="12" t="n">
        <f aca="false">$F11*R11</f>
        <v>0</v>
      </c>
      <c r="Y11" s="12" t="n">
        <f aca="false">$F11*S11</f>
        <v>0</v>
      </c>
      <c r="Z11" s="20" t="s">
        <v>210</v>
      </c>
    </row>
    <row r="12" customFormat="false" ht="23.85" hidden="false" customHeight="false" outlineLevel="0" collapsed="false">
      <c r="A12" s="10" t="n">
        <v>7</v>
      </c>
      <c r="B12" s="25" t="s">
        <v>121</v>
      </c>
      <c r="C12" s="30" t="str">
        <f aca="false">INDEX(Parametri!$G$31:$G$52,MATCH($B12,Parametri!$A$31:$A$52,0))</f>
        <v>Tilburg</v>
      </c>
      <c r="D12" s="31" t="n">
        <f aca="false">INDEX(Parametri!$D$31:$D$52,MATCH($B12,Parametri!$A$31:$A$52,0))</f>
        <v>3</v>
      </c>
      <c r="E12" s="16" t="n">
        <v>0.8</v>
      </c>
      <c r="F12" s="23" t="n">
        <f aca="false">E12*EXP(SUMPRODUCT(LN(1-$E$6:E11+($E$6:E11=1)*0.000000000001)))</f>
        <v>0.0092565</v>
      </c>
      <c r="G12" s="11" t="n">
        <f aca="false">INDEX(Parametri!$B$31:$B$52,MATCH($B12,Parametri!$A$31:$A$52,0))</f>
        <v>2771</v>
      </c>
      <c r="H12" s="32" t="n">
        <f aca="false">INDEX(Parametri!$C$31:$C$52,MATCH($B12,Parametri!$A$31:$A$52,0))</f>
        <v>2027</v>
      </c>
      <c r="I12" s="11" t="n">
        <f aca="false">INDEX(Parametri!$B$14:$B$27,MATCH($C12,Parametri!$A$14:$A$27,0))</f>
        <v>23000</v>
      </c>
      <c r="J12" s="11" t="n">
        <f aca="false">INDEX(Parametri!$F$31:$F$52,MATCH($B12,Parametri!$A$31:$A$52,0))</f>
        <v>0</v>
      </c>
      <c r="K12" s="12" t="n">
        <f aca="false">INDEX(N12:S12,MATCH($F$3,$N$4:$S$4,0))</f>
        <v>27240.975</v>
      </c>
      <c r="L12" s="12" t="n">
        <f aca="false">SUM(N12:S12)</f>
        <v>84155.744426875</v>
      </c>
      <c r="M12" s="12" t="n">
        <f aca="false">F12*L12</f>
        <v>778.987648287368</v>
      </c>
      <c r="N12" s="12" t="n">
        <f aca="false">IF(N$4&lt;$F$3,0,MAX(0,MIN(1,$D12-(N$4-$F$3+1)+1))*($G12*(1+INDEX(Parametri!$E$31:$E$52,MATCH($B12,Parametri!$A$31:$A$52,0)))^(N$4-$H12)+$I12*(1+Parametri!$B$5)^(N$4-Parametri!$B$6)+IF(N$4=$F$3,$J12,0)))</f>
        <v>0</v>
      </c>
      <c r="O12" s="12" t="n">
        <f aca="false">IF(O$4&lt;$F$3,0,MAX(0,MIN(1,$D12-(O$4-$F$3+1)+1))*($G12*(1+INDEX(Parametri!$E$31:$E$52,MATCH($B12,Parametri!$A$31:$A$52,0)))^(O$4-$H12)+$I12*(1+Parametri!$B$5)^(O$4-Parametri!$B$6)+IF(O$4=$F$3,$J12,0)))</f>
        <v>27240.975</v>
      </c>
      <c r="P12" s="12" t="n">
        <f aca="false">IF(P$4&lt;$F$3,0,MAX(0,MIN(1,$D12-(P$4-$F$3+1)+1))*($G12*(1+INDEX(Parametri!$E$31:$E$52,MATCH($B12,Parametri!$A$31:$A$52,0)))^(P$4-$H12)+$I12*(1+Parametri!$B$5)^(P$4-Parametri!$B$6)+IF(P$4=$F$3,$J12,0)))</f>
        <v>28044.002875</v>
      </c>
      <c r="Q12" s="12" t="n">
        <f aca="false">IF(Q$4&lt;$F$3,0,MAX(0,MIN(1,$D12-(Q$4-$F$3+1)+1))*($G12*(1+INDEX(Parametri!$E$31:$E$52,MATCH($B12,Parametri!$A$31:$A$52,0)))^(Q$4-$H12)+$I12*(1+Parametri!$B$5)^(Q$4-Parametri!$B$6)+IF(Q$4=$F$3,$J12,0)))</f>
        <v>28870.766551875</v>
      </c>
      <c r="R12" s="12" t="n">
        <f aca="false">IF(R$4&lt;$F$3,0,MAX(0,MIN(1,$D12-(R$4-$F$3+1)+1))*($G12*(1+INDEX(Parametri!$E$31:$E$52,MATCH($B12,Parametri!$A$31:$A$52,0)))^(R$4-$H12)+$I12*(1+Parametri!$B$5)^(R$4-Parametri!$B$6)+IF(R$4=$F$3,$J12,0)))</f>
        <v>0</v>
      </c>
      <c r="S12" s="12" t="n">
        <f aca="false">IF(S$4&lt;$F$3,0,MAX(0,MIN(1,$D12-(S$4-$F$3+1)+1))*($G12*(1+INDEX(Parametri!$E$31:$E$52,MATCH($B12,Parametri!$A$31:$A$52,0)))^(S$4-$H12)+$I12*(1+Parametri!$B$5)^(S$4-Parametri!$B$6)+IF(S$4=$F$3,$J12,0)))</f>
        <v>0</v>
      </c>
      <c r="T12" s="12" t="n">
        <f aca="false">$F12*N12</f>
        <v>0</v>
      </c>
      <c r="U12" s="12" t="n">
        <f aca="false">$F12*O12</f>
        <v>252.1560850875</v>
      </c>
      <c r="V12" s="12" t="n">
        <f aca="false">$F12*P12</f>
        <v>259.589312612437</v>
      </c>
      <c r="W12" s="12" t="n">
        <f aca="false">$F12*Q12</f>
        <v>267.242250587431</v>
      </c>
      <c r="X12" s="12" t="n">
        <f aca="false">$F12*R12</f>
        <v>0</v>
      </c>
      <c r="Y12" s="12" t="n">
        <f aca="false">$F12*S12</f>
        <v>0</v>
      </c>
      <c r="Z12" s="20" t="s">
        <v>211</v>
      </c>
    </row>
    <row r="13" customFormat="false" ht="15" hidden="false" customHeight="false" outlineLevel="0" collapsed="false">
      <c r="A13" s="10" t="n">
        <v>8</v>
      </c>
      <c r="B13" s="25" t="s">
        <v>107</v>
      </c>
      <c r="C13" s="30" t="str">
        <f aca="false">INDEX(Parametri!$G$31:$G$52,MATCH($B13,Parametri!$A$31:$A$52,0))</f>
        <v>Milano (a casa)</v>
      </c>
      <c r="D13" s="31" t="n">
        <f aca="false">INDEX(Parametri!$D$31:$D$52,MATCH($B13,Parametri!$A$31:$A$52,0))</f>
        <v>3</v>
      </c>
      <c r="E13" s="16" t="n">
        <v>1</v>
      </c>
      <c r="F13" s="23" t="n">
        <f aca="false">E13*EXP(SUMPRODUCT(LN(1-$E$6:E12+($E$6:E12=1)*0.000000000001)))</f>
        <v>0.002314125</v>
      </c>
      <c r="G13" s="11" t="n">
        <f aca="false">INDEX(Parametri!$B$31:$B$52,MATCH($B13,Parametri!$A$31:$A$52,0))</f>
        <v>11500</v>
      </c>
      <c r="H13" s="32" t="n">
        <f aca="false">INDEX(Parametri!$C$31:$C$52,MATCH($B13,Parametri!$A$31:$A$52,0))</f>
        <v>2026</v>
      </c>
      <c r="I13" s="11" t="n">
        <f aca="false">INDEX(Parametri!$B$14:$B$27,MATCH($C13,Parametri!$A$14:$A$27,0))</f>
        <v>2800</v>
      </c>
      <c r="J13" s="11" t="n">
        <f aca="false">INDEX(Parametri!$F$31:$F$52,MATCH($B13,Parametri!$A$31:$A$52,0))</f>
        <v>0</v>
      </c>
      <c r="K13" s="12" t="n">
        <f aca="false">INDEX(N13:S13,MATCH($F$3,$N$4:$S$4,0))</f>
        <v>15052.7075</v>
      </c>
      <c r="L13" s="12" t="n">
        <f aca="false">SUM(N13:S13)</f>
        <v>46341.8581976875</v>
      </c>
      <c r="M13" s="12" t="n">
        <f aca="false">F13*L13</f>
        <v>107.240852601723</v>
      </c>
      <c r="N13" s="12" t="n">
        <f aca="false">IF(N$4&lt;$F$3,0,MAX(0,MIN(1,$D13-(N$4-$F$3+1)+1))*($G13*(1+INDEX(Parametri!$E$31:$E$52,MATCH($B13,Parametri!$A$31:$A$52,0)))^(N$4-$H13)+$I13*(1+Parametri!$B$5)^(N$4-Parametri!$B$6)+IF(N$4=$F$3,$J13,0)))</f>
        <v>0</v>
      </c>
      <c r="O13" s="12" t="n">
        <f aca="false">IF(O$4&lt;$F$3,0,MAX(0,MIN(1,$D13-(O$4-$F$3+1)+1))*($G13*(1+INDEX(Parametri!$E$31:$E$52,MATCH($B13,Parametri!$A$31:$A$52,0)))^(O$4-$H13)+$I13*(1+Parametri!$B$5)^(O$4-Parametri!$B$6)+IF(O$4=$F$3,$J13,0)))</f>
        <v>15052.7075</v>
      </c>
      <c r="P13" s="12" t="n">
        <f aca="false">IF(P$4&lt;$F$3,0,MAX(0,MIN(1,$D13-(P$4-$F$3+1)+1))*($G13*(1+INDEX(Parametri!$E$31:$E$52,MATCH($B13,Parametri!$A$31:$A$52,0)))^(P$4-$H13)+$I13*(1+Parametri!$B$5)^(P$4-Parametri!$B$6)+IF(P$4=$F$3,$J13,0)))</f>
        <v>15443.8777875</v>
      </c>
      <c r="Q13" s="12" t="n">
        <f aca="false">IF(Q$4&lt;$F$3,0,MAX(0,MIN(1,$D13-(Q$4-$F$3+1)+1))*($G13*(1+INDEX(Parametri!$E$31:$E$52,MATCH($B13,Parametri!$A$31:$A$52,0)))^(Q$4-$H13)+$I13*(1+Parametri!$B$5)^(Q$4-Parametri!$B$6)+IF(Q$4=$F$3,$J13,0)))</f>
        <v>15845.2729101875</v>
      </c>
      <c r="R13" s="12" t="n">
        <f aca="false">IF(R$4&lt;$F$3,0,MAX(0,MIN(1,$D13-(R$4-$F$3+1)+1))*($G13*(1+INDEX(Parametri!$E$31:$E$52,MATCH($B13,Parametri!$A$31:$A$52,0)))^(R$4-$H13)+$I13*(1+Parametri!$B$5)^(R$4-Parametri!$B$6)+IF(R$4=$F$3,$J13,0)))</f>
        <v>0</v>
      </c>
      <c r="S13" s="12" t="n">
        <f aca="false">IF(S$4&lt;$F$3,0,MAX(0,MIN(1,$D13-(S$4-$F$3+1)+1))*($G13*(1+INDEX(Parametri!$E$31:$E$52,MATCH($B13,Parametri!$A$31:$A$52,0)))^(S$4-$H13)+$I13*(1+Parametri!$B$5)^(S$4-Parametri!$B$6)+IF(S$4=$F$3,$J13,0)))</f>
        <v>0</v>
      </c>
      <c r="T13" s="12" t="n">
        <f aca="false">$F13*N13</f>
        <v>0</v>
      </c>
      <c r="U13" s="12" t="n">
        <f aca="false">$F13*O13</f>
        <v>34.8338467434375</v>
      </c>
      <c r="V13" s="12" t="n">
        <f aca="false">$F13*P13</f>
        <v>35.7390636849984</v>
      </c>
      <c r="W13" s="12" t="n">
        <f aca="false">$F13*Q13</f>
        <v>36.6679421732876</v>
      </c>
      <c r="X13" s="12" t="n">
        <f aca="false">$F13*R13</f>
        <v>0</v>
      </c>
      <c r="Y13" s="12" t="n">
        <f aca="false">$F13*S13</f>
        <v>0</v>
      </c>
      <c r="Z13" s="20" t="s">
        <v>202</v>
      </c>
    </row>
    <row r="14" customFormat="false" ht="15" hidden="false" customHeight="false" outlineLevel="0" collapsed="false">
      <c r="A14" s="15"/>
      <c r="B14" s="13" t="s">
        <v>189</v>
      </c>
      <c r="C14" s="15"/>
      <c r="D14" s="15"/>
      <c r="E14" s="15"/>
      <c r="F14" s="33" t="n">
        <f aca="false">SUM(F6:F13)</f>
        <v>1</v>
      </c>
      <c r="G14" s="15"/>
      <c r="H14" s="15"/>
      <c r="I14" s="15"/>
      <c r="J14" s="15"/>
      <c r="K14" s="15"/>
      <c r="L14" s="15"/>
      <c r="M14" s="14" t="n">
        <f aca="false">SUM(M6:M13)</f>
        <v>123929.403795698</v>
      </c>
      <c r="N14" s="15"/>
      <c r="O14" s="15"/>
      <c r="P14" s="15"/>
      <c r="Q14" s="15"/>
      <c r="R14" s="15"/>
      <c r="S14" s="15"/>
      <c r="T14" s="14" t="n">
        <f aca="false">SUM(T6:T13)</f>
        <v>0</v>
      </c>
      <c r="U14" s="14" t="n">
        <f aca="false">SUM(U6:U13)</f>
        <v>37958.2946501528</v>
      </c>
      <c r="V14" s="14" t="n">
        <f aca="false">SUM(V6:V13)</f>
        <v>38363.8539131856</v>
      </c>
      <c r="W14" s="14" t="n">
        <f aca="false">SUM(W6:W13)</f>
        <v>39501.6289290271</v>
      </c>
      <c r="X14" s="14" t="n">
        <f aca="false">SUM(X6:X13)</f>
        <v>8105.62630333287</v>
      </c>
      <c r="Y14" s="14" t="n">
        <f aca="false">SUM(Y6:Y13)</f>
        <v>0</v>
      </c>
      <c r="Z14" s="34" t="s">
        <v>190</v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5"/>
      <c r="B16" s="13" t="s">
        <v>191</v>
      </c>
      <c r="C16" s="34" t="str">
        <f aca="false">INDEX($B$6:$B$13,MATCH(MAX($F$6:$F$13),$F$6:$F$13,0))</f>
        <v>UvA Amsterdam — Economics &amp; Business Economics</v>
      </c>
      <c r="D16" s="15"/>
      <c r="E16" s="15"/>
      <c r="F16" s="15"/>
      <c r="G16" s="15"/>
      <c r="H16" s="15"/>
      <c r="I16" s="15"/>
      <c r="J16" s="15"/>
      <c r="K16" s="15"/>
      <c r="L16" s="14" t="n">
        <f aca="false">INDEX($L$6:$L$13,MATCH(MAX($F$6:$F$13),$F$6:$F$13,0))</f>
        <v>107109.695096875</v>
      </c>
      <c r="M16" s="15"/>
      <c r="N16" s="35" t="n">
        <f aca="false">INDEX($N$6:$N$13,MATCH(MAX($F$6:$F$13),$F$6:$F$13,0))</f>
        <v>0</v>
      </c>
      <c r="O16" s="35" t="n">
        <f aca="false">INDEX($O$6:$O$13,MATCH(MAX($F$6:$F$13),$F$6:$F$13,0))</f>
        <v>34667.275</v>
      </c>
      <c r="P16" s="35" t="n">
        <f aca="false">INDEX($P$6:$P$13,MATCH(MAX($F$6:$F$13),$F$6:$F$13,0))</f>
        <v>35693.091875</v>
      </c>
      <c r="Q16" s="35" t="n">
        <f aca="false">INDEX($Q$6:$Q$13,MATCH(MAX($F$6:$F$13),$F$6:$F$13,0))</f>
        <v>36749.328221875</v>
      </c>
      <c r="R16" s="35" t="n">
        <f aca="false">INDEX($R$6:$R$13,MATCH(MAX($F$6:$F$13),$F$6:$F$13,0))</f>
        <v>0</v>
      </c>
      <c r="S16" s="35" t="n">
        <f aca="false">INDEX($S$6:$S$13,MATCH(MAX($F$6:$F$13),$F$6:$F$13,0))</f>
        <v>0</v>
      </c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/>
      <c r="B17" s="13" t="s">
        <v>192</v>
      </c>
      <c r="C17" s="34" t="str">
        <f aca="false">INDEX($B$6:$B$13,MATCH(_xlfn.MINIFS($L$6:$L$13,$F$6:$F$13,"&gt;="&amp;Parametri!$B$10),$L$6:$L$13,0))</f>
        <v>UvA Amsterdam — Economics &amp; Business Economics</v>
      </c>
      <c r="D17" s="15"/>
      <c r="E17" s="15"/>
      <c r="F17" s="15"/>
      <c r="G17" s="15"/>
      <c r="H17" s="15"/>
      <c r="I17" s="15"/>
      <c r="J17" s="15"/>
      <c r="K17" s="15"/>
      <c r="L17" s="14" t="n">
        <f aca="false">INDEX($L$6:$L$13,MATCH(_xlfn.MINIFS($L$6:$L$13,$F$6:$F$13,"&gt;="&amp;Parametri!$B$10),$L$6:$L$13,0))</f>
        <v>107109.695096875</v>
      </c>
      <c r="M17" s="15"/>
      <c r="N17" s="35" t="n">
        <f aca="false">INDEX($N$6:$N$13,MATCH(_xlfn.MINIFS($L$6:$L$13,$F$6:$F$13,"&gt;="&amp;Parametri!$B$10),$L$6:$L$13,0))</f>
        <v>0</v>
      </c>
      <c r="O17" s="35" t="n">
        <f aca="false">INDEX($O$6:$O$13,MATCH(_xlfn.MINIFS($L$6:$L$13,$F$6:$F$13,"&gt;="&amp;Parametri!$B$10),$L$6:$L$13,0))</f>
        <v>34667.275</v>
      </c>
      <c r="P17" s="35" t="n">
        <f aca="false">INDEX($P$6:$P$13,MATCH(_xlfn.MINIFS($L$6:$L$13,$F$6:$F$13,"&gt;="&amp;Parametri!$B$10),$L$6:$L$13,0))</f>
        <v>35693.091875</v>
      </c>
      <c r="Q17" s="35" t="n">
        <f aca="false">INDEX($Q$6:$Q$13,MATCH(_xlfn.MINIFS($L$6:$L$13,$F$6:$F$13,"&gt;="&amp;Parametri!$B$10),$L$6:$L$13,0))</f>
        <v>36749.328221875</v>
      </c>
      <c r="R17" s="35" t="n">
        <f aca="false">INDEX($R$6:$R$13,MATCH(_xlfn.MINIFS($L$6:$L$13,$F$6:$F$13,"&gt;="&amp;Parametri!$B$10),$L$6:$L$13,0))</f>
        <v>0</v>
      </c>
      <c r="S17" s="35" t="n">
        <f aca="false">INDEX($S$6:$S$13,MATCH(_xlfn.MINIFS($L$6:$L$13,$F$6:$F$13,"&gt;="&amp;Parametri!$B$10),$L$6:$L$13,0))</f>
        <v>0</v>
      </c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5"/>
      <c r="B18" s="13" t="s">
        <v>193</v>
      </c>
      <c r="C18" s="34" t="str">
        <f aca="false">INDEX($B$6:$B$13,MATCH(_xlfn.MAXIFS($L$6:$L$13,$F$6:$F$13,"&gt;="&amp;Parametri!$B$10),$L$6:$L$13,0))</f>
        <v>IE University Madrid — BBA</v>
      </c>
      <c r="D18" s="15"/>
      <c r="E18" s="15"/>
      <c r="F18" s="15"/>
      <c r="G18" s="15"/>
      <c r="H18" s="15"/>
      <c r="I18" s="15"/>
      <c r="J18" s="15"/>
      <c r="K18" s="15"/>
      <c r="L18" s="14" t="n">
        <f aca="false">INDEX($L$6:$L$13,MATCH(_xlfn.MAXIFS($L$6:$L$13,$F$6:$F$13,"&gt;="&amp;Parametri!$B$10),$L$6:$L$13,0))</f>
        <v>250021.169868517</v>
      </c>
      <c r="M18" s="15"/>
      <c r="N18" s="35" t="n">
        <f aca="false">INDEX($N$6:$N$13,MATCH(_xlfn.MAXIFS($L$6:$L$13,$F$6:$F$13,"&gt;="&amp;Parametri!$B$10),$L$6:$L$13,0))</f>
        <v>0</v>
      </c>
      <c r="O18" s="35" t="n">
        <f aca="false">INDEX($O$6:$O$13,MATCH(_xlfn.MAXIFS($L$6:$L$13,$F$6:$F$13,"&gt;="&amp;Parametri!$B$10),$L$6:$L$13,0))</f>
        <v>64639.789</v>
      </c>
      <c r="P18" s="35" t="n">
        <f aca="false">INDEX($P$6:$P$13,MATCH(_xlfn.MAXIFS($L$6:$L$13,$F$6:$F$13,"&gt;="&amp;Parametri!$B$10),$L$6:$L$13,0))</f>
        <v>60007.776281</v>
      </c>
      <c r="Q18" s="35" t="n">
        <f aca="false">INDEX($Q$6:$Q$13,MATCH(_xlfn.MAXIFS($L$6:$L$13,$F$6:$F$13,"&gt;="&amp;Parametri!$B$10),$L$6:$L$13,0))</f>
        <v>61776.412695149</v>
      </c>
      <c r="R18" s="35" t="n">
        <f aca="false">INDEX($R$6:$R$13,MATCH(_xlfn.MAXIFS($L$6:$L$13,$F$6:$F$13,"&gt;="&amp;Parametri!$B$10),$L$6:$L$13,0))</f>
        <v>63597.1918923683</v>
      </c>
      <c r="S18" s="35" t="n">
        <f aca="false">INDEX($S$6:$S$13,MATCH(_xlfn.MAXIFS($L$6:$L$13,$F$6:$F$13,"&gt;="&amp;Parametri!$B$10),$L$6:$L$13,0))</f>
        <v>0</v>
      </c>
      <c r="T18" s="5"/>
      <c r="U18" s="5"/>
      <c r="V18" s="5"/>
      <c r="W18" s="5"/>
      <c r="X18" s="5"/>
      <c r="Y18" s="5"/>
      <c r="Z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4" t="s">
        <v>212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8" t="s">
        <v>213</v>
      </c>
      <c r="B3" s="8" t="s">
        <v>214</v>
      </c>
      <c r="C3" s="8" t="s">
        <v>215</v>
      </c>
    </row>
    <row r="4" customFormat="false" ht="15" hidden="false" customHeight="false" outlineLevel="0" collapsed="false">
      <c r="A4" s="6" t="s">
        <v>216</v>
      </c>
      <c r="B4" s="6" t="s">
        <v>217</v>
      </c>
      <c r="C4" s="36" t="s">
        <v>218</v>
      </c>
    </row>
    <row r="5" customFormat="false" ht="15" hidden="false" customHeight="false" outlineLevel="0" collapsed="false">
      <c r="A5" s="6" t="s">
        <v>216</v>
      </c>
      <c r="B5" s="6" t="s">
        <v>219</v>
      </c>
      <c r="C5" s="36" t="s">
        <v>220</v>
      </c>
    </row>
    <row r="6" customFormat="false" ht="15" hidden="false" customHeight="false" outlineLevel="0" collapsed="false">
      <c r="A6" s="6" t="s">
        <v>221</v>
      </c>
      <c r="B6" s="6" t="s">
        <v>222</v>
      </c>
      <c r="C6" s="36" t="s">
        <v>223</v>
      </c>
    </row>
    <row r="7" customFormat="false" ht="15" hidden="false" customHeight="false" outlineLevel="0" collapsed="false">
      <c r="A7" s="6" t="s">
        <v>224</v>
      </c>
      <c r="B7" s="6" t="s">
        <v>225</v>
      </c>
      <c r="C7" s="36" t="s">
        <v>226</v>
      </c>
    </row>
    <row r="8" customFormat="false" ht="15" hidden="false" customHeight="false" outlineLevel="0" collapsed="false">
      <c r="A8" s="6" t="s">
        <v>227</v>
      </c>
      <c r="B8" s="6" t="s">
        <v>228</v>
      </c>
      <c r="C8" s="36" t="s">
        <v>229</v>
      </c>
    </row>
    <row r="9" customFormat="false" ht="15" hidden="false" customHeight="false" outlineLevel="0" collapsed="false">
      <c r="A9" s="6" t="s">
        <v>230</v>
      </c>
      <c r="B9" s="6" t="s">
        <v>231</v>
      </c>
      <c r="C9" s="36" t="s">
        <v>232</v>
      </c>
    </row>
    <row r="10" customFormat="false" ht="15" hidden="false" customHeight="false" outlineLevel="0" collapsed="false">
      <c r="A10" s="6" t="s">
        <v>230</v>
      </c>
      <c r="B10" s="6" t="s">
        <v>233</v>
      </c>
      <c r="C10" s="36" t="s">
        <v>234</v>
      </c>
    </row>
    <row r="11" customFormat="false" ht="15" hidden="false" customHeight="false" outlineLevel="0" collapsed="false">
      <c r="A11" s="6" t="s">
        <v>230</v>
      </c>
      <c r="B11" s="6" t="s">
        <v>235</v>
      </c>
      <c r="C11" s="36" t="s">
        <v>236</v>
      </c>
    </row>
    <row r="12" customFormat="false" ht="15" hidden="false" customHeight="false" outlineLevel="0" collapsed="false">
      <c r="A12" s="6" t="s">
        <v>71</v>
      </c>
      <c r="B12" s="6" t="s">
        <v>237</v>
      </c>
      <c r="C12" s="36" t="s">
        <v>238</v>
      </c>
    </row>
    <row r="13" customFormat="false" ht="15" hidden="false" customHeight="false" outlineLevel="0" collapsed="false">
      <c r="A13" s="6" t="s">
        <v>71</v>
      </c>
      <c r="B13" s="6" t="s">
        <v>239</v>
      </c>
      <c r="C13" s="36" t="s">
        <v>240</v>
      </c>
    </row>
    <row r="14" customFormat="false" ht="15" hidden="false" customHeight="false" outlineLevel="0" collapsed="false">
      <c r="A14" s="6" t="s">
        <v>71</v>
      </c>
      <c r="B14" s="6" t="s">
        <v>241</v>
      </c>
      <c r="C14" s="36" t="s">
        <v>242</v>
      </c>
    </row>
    <row r="15" customFormat="false" ht="15" hidden="false" customHeight="false" outlineLevel="0" collapsed="false">
      <c r="A15" s="6" t="s">
        <v>71</v>
      </c>
      <c r="B15" s="6" t="s">
        <v>243</v>
      </c>
      <c r="C15" s="36" t="s">
        <v>244</v>
      </c>
    </row>
    <row r="16" customFormat="false" ht="15" hidden="false" customHeight="false" outlineLevel="0" collapsed="false">
      <c r="A16" s="6" t="s">
        <v>73</v>
      </c>
      <c r="B16" s="6" t="s">
        <v>245</v>
      </c>
      <c r="C16" s="36" t="s">
        <v>246</v>
      </c>
    </row>
    <row r="17" customFormat="false" ht="15" hidden="false" customHeight="false" outlineLevel="0" collapsed="false">
      <c r="A17" s="6" t="s">
        <v>73</v>
      </c>
      <c r="B17" s="6" t="s">
        <v>247</v>
      </c>
      <c r="C17" s="36" t="s">
        <v>248</v>
      </c>
    </row>
    <row r="18" customFormat="false" ht="15" hidden="false" customHeight="false" outlineLevel="0" collapsed="false">
      <c r="A18" s="6" t="s">
        <v>75</v>
      </c>
      <c r="B18" s="6" t="s">
        <v>249</v>
      </c>
      <c r="C18" s="36" t="s">
        <v>250</v>
      </c>
    </row>
    <row r="19" customFormat="false" ht="15" hidden="false" customHeight="false" outlineLevel="0" collapsed="false">
      <c r="A19" s="6" t="s">
        <v>77</v>
      </c>
      <c r="B19" s="6" t="s">
        <v>251</v>
      </c>
      <c r="C19" s="36" t="s">
        <v>252</v>
      </c>
    </row>
    <row r="20" customFormat="false" ht="15" hidden="false" customHeight="false" outlineLevel="0" collapsed="false">
      <c r="A20" s="6" t="s">
        <v>253</v>
      </c>
      <c r="B20" s="6" t="s">
        <v>254</v>
      </c>
      <c r="C20" s="36" t="s">
        <v>255</v>
      </c>
    </row>
    <row r="21" customFormat="false" ht="15" hidden="false" customHeight="false" outlineLevel="0" collapsed="false">
      <c r="A21" s="6" t="s">
        <v>256</v>
      </c>
      <c r="B21" s="6" t="s">
        <v>257</v>
      </c>
      <c r="C21" s="36" t="s">
        <v>258</v>
      </c>
    </row>
    <row r="22" customFormat="false" ht="15" hidden="false" customHeight="false" outlineLevel="0" collapsed="false">
      <c r="A22" s="6" t="s">
        <v>256</v>
      </c>
      <c r="B22" s="6" t="s">
        <v>259</v>
      </c>
      <c r="C22" s="36" t="s">
        <v>260</v>
      </c>
    </row>
    <row r="23" customFormat="false" ht="15" hidden="false" customHeight="false" outlineLevel="0" collapsed="false">
      <c r="A23" s="6" t="s">
        <v>261</v>
      </c>
      <c r="B23" s="6" t="s">
        <v>262</v>
      </c>
      <c r="C23" s="36" t="s">
        <v>263</v>
      </c>
    </row>
    <row r="24" customFormat="false" ht="15" hidden="false" customHeight="false" outlineLevel="0" collapsed="false">
      <c r="A24" s="6" t="s">
        <v>264</v>
      </c>
      <c r="B24" s="6" t="s">
        <v>265</v>
      </c>
      <c r="C24" s="36" t="s">
        <v>266</v>
      </c>
    </row>
    <row r="25" customFormat="false" ht="15" hidden="false" customHeight="false" outlineLevel="0" collapsed="false">
      <c r="A25" s="6" t="s">
        <v>267</v>
      </c>
      <c r="B25" s="6" t="s">
        <v>268</v>
      </c>
      <c r="C25" s="36" t="s">
        <v>269</v>
      </c>
    </row>
    <row r="26" customFormat="false" ht="15" hidden="false" customHeight="false" outlineLevel="0" collapsed="false">
      <c r="A26" s="6" t="s">
        <v>81</v>
      </c>
      <c r="B26" s="6" t="s">
        <v>270</v>
      </c>
      <c r="C26" s="36" t="s">
        <v>271</v>
      </c>
    </row>
    <row r="27" customFormat="false" ht="15" hidden="false" customHeight="false" outlineLevel="0" collapsed="false">
      <c r="A27" s="6" t="s">
        <v>272</v>
      </c>
      <c r="B27" s="6" t="s">
        <v>273</v>
      </c>
      <c r="C27" s="36" t="s">
        <v>274</v>
      </c>
    </row>
    <row r="28" customFormat="false" ht="15" hidden="false" customHeight="false" outlineLevel="0" collapsed="false">
      <c r="A28" s="6" t="s">
        <v>272</v>
      </c>
      <c r="B28" s="6" t="s">
        <v>275</v>
      </c>
      <c r="C28" s="36" t="s">
        <v>276</v>
      </c>
    </row>
    <row r="29" customFormat="false" ht="15" hidden="false" customHeight="false" outlineLevel="0" collapsed="false">
      <c r="A29" s="6" t="s">
        <v>277</v>
      </c>
      <c r="B29" s="6" t="s">
        <v>278</v>
      </c>
      <c r="C29" s="36" t="s">
        <v>279</v>
      </c>
    </row>
    <row r="30" customFormat="false" ht="15" hidden="false" customHeight="false" outlineLevel="0" collapsed="false">
      <c r="A30" s="6" t="s">
        <v>280</v>
      </c>
      <c r="B30" s="6" t="s">
        <v>281</v>
      </c>
      <c r="C30" s="36" t="s">
        <v>282</v>
      </c>
    </row>
    <row r="31" customFormat="false" ht="15" hidden="false" customHeight="false" outlineLevel="0" collapsed="false">
      <c r="A31" s="6" t="s">
        <v>283</v>
      </c>
      <c r="B31" s="6" t="s">
        <v>284</v>
      </c>
      <c r="C31" s="36" t="s">
        <v>285</v>
      </c>
    </row>
    <row r="32" customFormat="false" ht="15" hidden="false" customHeight="false" outlineLevel="0" collapsed="false">
      <c r="A32" s="6" t="s">
        <v>286</v>
      </c>
      <c r="B32" s="6" t="s">
        <v>287</v>
      </c>
      <c r="C32" s="36" t="s">
        <v>288</v>
      </c>
    </row>
    <row r="33" customFormat="false" ht="15" hidden="false" customHeight="false" outlineLevel="0" collapsed="false">
      <c r="A33" s="6" t="s">
        <v>286</v>
      </c>
      <c r="B33" s="6" t="s">
        <v>289</v>
      </c>
      <c r="C33" s="36" t="s">
        <v>290</v>
      </c>
    </row>
    <row r="34" customFormat="false" ht="15" hidden="false" customHeight="false" outlineLevel="0" collapsed="false">
      <c r="A34" s="6" t="s">
        <v>291</v>
      </c>
      <c r="B34" s="6" t="s">
        <v>292</v>
      </c>
      <c r="C34" s="36" t="s">
        <v>293</v>
      </c>
    </row>
    <row r="35" customFormat="false" ht="15" hidden="false" customHeight="false" outlineLevel="0" collapsed="false">
      <c r="A35" s="6" t="s">
        <v>291</v>
      </c>
      <c r="B35" s="6" t="s">
        <v>294</v>
      </c>
      <c r="C35" s="36" t="s">
        <v>295</v>
      </c>
    </row>
    <row r="36" customFormat="false" ht="15" hidden="false" customHeight="false" outlineLevel="0" collapsed="false">
      <c r="A36" s="6" t="s">
        <v>93</v>
      </c>
      <c r="B36" s="6" t="s">
        <v>296</v>
      </c>
      <c r="C36" s="36" t="s">
        <v>297</v>
      </c>
    </row>
    <row r="37" customFormat="false" ht="15" hidden="false" customHeight="false" outlineLevel="0" collapsed="false">
      <c r="A37" s="6" t="s">
        <v>298</v>
      </c>
      <c r="B37" s="6" t="s">
        <v>299</v>
      </c>
      <c r="C37" s="36" t="s">
        <v>300</v>
      </c>
    </row>
    <row r="38" customFormat="false" ht="15" hidden="false" customHeight="false" outlineLevel="0" collapsed="false">
      <c r="A38" s="6" t="s">
        <v>301</v>
      </c>
      <c r="B38" s="6" t="s">
        <v>302</v>
      </c>
      <c r="C38" s="36" t="s">
        <v>303</v>
      </c>
    </row>
    <row r="39" customFormat="false" ht="15" hidden="false" customHeight="false" outlineLevel="0" collapsed="false">
      <c r="A39" s="6" t="s">
        <v>301</v>
      </c>
      <c r="B39" s="6" t="s">
        <v>304</v>
      </c>
      <c r="C39" s="36" t="s">
        <v>305</v>
      </c>
    </row>
    <row r="40" customFormat="false" ht="15" hidden="false" customHeight="false" outlineLevel="0" collapsed="false">
      <c r="A40" s="6" t="s">
        <v>301</v>
      </c>
      <c r="B40" s="6" t="s">
        <v>306</v>
      </c>
      <c r="C40" s="36" t="s">
        <v>307</v>
      </c>
    </row>
    <row r="41" customFormat="false" ht="15" hidden="false" customHeight="false" outlineLevel="0" collapsed="false">
      <c r="A41" s="6" t="s">
        <v>308</v>
      </c>
      <c r="B41" s="6" t="s">
        <v>309</v>
      </c>
      <c r="C41" s="36" t="s">
        <v>310</v>
      </c>
    </row>
    <row r="42" customFormat="false" ht="15" hidden="false" customHeight="false" outlineLevel="0" collapsed="false">
      <c r="A42" s="6" t="s">
        <v>308</v>
      </c>
      <c r="B42" s="6" t="s">
        <v>311</v>
      </c>
      <c r="C42" s="36" t="s">
        <v>312</v>
      </c>
    </row>
    <row r="43" customFormat="false" ht="15" hidden="false" customHeight="false" outlineLevel="0" collapsed="false">
      <c r="A43" s="6" t="s">
        <v>313</v>
      </c>
      <c r="B43" s="6" t="s">
        <v>314</v>
      </c>
      <c r="C43" s="36" t="s">
        <v>315</v>
      </c>
    </row>
    <row r="44" customFormat="false" ht="15" hidden="false" customHeight="false" outlineLevel="0" collapsed="false">
      <c r="A44" s="6" t="s">
        <v>95</v>
      </c>
      <c r="B44" s="6" t="s">
        <v>316</v>
      </c>
      <c r="C44" s="36" t="s">
        <v>317</v>
      </c>
    </row>
    <row r="45" customFormat="false" ht="15" hidden="false" customHeight="false" outlineLevel="0" collapsed="false">
      <c r="A45" s="6" t="s">
        <v>318</v>
      </c>
      <c r="B45" s="6" t="s">
        <v>319</v>
      </c>
      <c r="C45" s="36" t="s">
        <v>320</v>
      </c>
    </row>
  </sheetData>
  <hyperlinks>
    <hyperlink ref="C4" r:id="rId1" display="https://www.unibocconi.it/it/entrare-bocconi/corsi-di-laurea-triennale-e-giurisprudenza/tasse-e-contributi"/>
    <hyperlink ref="C5" r:id="rId2" display="https://www.unibocconi.it/it/entrare-bocconi/corsi-di-laurea-triennale-e-giurisprudenza/ammissione/ammissione"/>
    <hyperlink ref="C6" r:id="rId3" display="https://studenticattolica.unicatt.it/2026-2027%20Normativa%20tasse%20primo%20anno%20di%20corso.pdf"/>
    <hyperlink ref="C7" r:id="rId4" display="https://www.unimi.it/sites/default/files/regolamenti/Regolamento%20tasse%20e%20contributi%202026_2027_signed.pdf"/>
    <hyperlink ref="C8" r:id="rId5" display="https://www.atm.it/it/ViaggiaConNoi/Documents/TARIFFE%20ATM.pdf"/>
    <hyperlink ref="C9" r:id="rId6" display="https://www.duo.nl/particulier/collegegeld.jsp"/>
    <hyperlink ref="C10" r:id="rId7" display="https://www.tudelft.nl/en/education/study-programme-orientation/practical-matters/tuition-fee-finances"/>
    <hyperlink ref="C11" r:id="rId8" display="https://www.studiekeuze123.nl/halvering-collegegeld"/>
    <hyperlink ref="C12" r:id="rId9" display="https://www.eur.nl/en/media/2025-09-regulations-numerus-fixus-ibeb-2026-2027"/>
    <hyperlink ref="C13" r:id="rId10" display="https://admissions-support.rsm.nl/support/solutions/articles/80000880316-i-am-on-the-iba-waiting-list-what-are-my-chances-of-getting-an-offer-for-the-programme-"/>
    <hyperlink ref="C14" r:id="rId11" display="https://www.eur.nl/en/bachelor/double-bachelor-bsc2-econometrics-and-economics/facts-figures"/>
    <hyperlink ref="C15" r:id="rId12" display="https://www.eur.nl/en/education/practical-matters/orientation-arrival/costs-living-nl"/>
    <hyperlink ref="C16" r:id="rId13" display="https://www.uva.nl/en/programmes/bachelors/economics--business-economics/application-and-admission/selection-procedure/update-ranking-numbers.html"/>
    <hyperlink ref="C17" r:id="rId14" display="https://www.amsterdamuas.com/study/international-admissions/financial-matters/cost-of-living"/>
    <hyperlink ref="C18" r:id="rId15" display="https://www.tilburguniversity.edu/education/bachelors-programs/tuition-fees-and-monthly-cost-living"/>
    <hyperlink ref="C19" r:id="rId16" display="https://www.maastrichtuniversity.nl/file/regulations-selection-bachelor%E2%80%99s-programmes-numerus-fixus-2026-2027pdf"/>
    <hyperlink ref="C20" r:id="rId17" display="https://kamernet.nl/tips/verhuurders/huurprijs/verhuurrapportage-q3-2025"/>
    <hyperlink ref="C21" r:id="rId18" display="https://www.sciencespo.fr/en/admissions-and-financial-aid/tuition-fees/"/>
    <hyperlink ref="C22" r:id="rId19" display="https://www.sciencespo.fr/college/en/admission-procedures/"/>
    <hyperlink ref="C23" r:id="rId20" display="https://escp.eu/news/escp-sciences-po-announce-new-dual-degree-bachelor"/>
    <hyperlink ref="C24" r:id="rId21" display="https://escp.eu/programmes/bachelor-in-management-BSc"/>
    <hyperlink ref="C25" r:id="rId22" display="https://forward-college.eu/tuition-feesand-living-costs/"/>
    <hyperlink ref="C26" r:id="rId23" display="https://www.locservice.fr/paris-75/logement-etudiant-paris.html"/>
    <hyperlink ref="C27" r:id="rId24" display="https://www.ie.edu/university/admission/payment-methods/"/>
    <hyperlink ref="C28" r:id="rId25" display="https://docs.ie.edu/student-services/IEU_COST_OF_LIVING_MADRID.pdf"/>
    <hyperlink ref="C29" r:id="rId26" display="https://www.esade.edu/bachelor/en/degrees/tuition-fees"/>
    <hyperlink ref="C30" r:id="rId27" display="https://www.uc3m.es/grado/admision/solicitud/matricula/precios-matricula"/>
    <hyperlink ref="C31" r:id="rId28" display="https://www.upf.edu/web/graus/preus"/>
    <hyperlink ref="C32" r:id="rId29" display="https://www.idealista.com/news/inmobiliario/vivienda/2026/04/09/892181-la-oferta-de-habitaciones-crece-un-22-y-el-precio-solo-aumenta-un-2-en-el-primer"/>
    <hyperlink ref="C33" r:id="rId30" display="https://www.boe.es/buscar/doc.php?id=BOE-A-2025-10777"/>
    <hyperlink ref="C34" r:id="rId31" display="https://cbs.dk/en/study/bachelor/admission/how-to-apply/international-applicants"/>
    <hyperlink ref="C35" r:id="rId32" display="https://www.cbs.dk/en/study-programmes/bachelor-programmes/bsc-international-business"/>
    <hyperlink ref="C36" r:id="rId33" display="https://international.kk.dk/live/housing/finding-a-place-to-live/average-renting-costs"/>
    <hyperlink ref="C37" r:id="rId34" display="https://www.su.dk/foreign-citizen/gb-foreign-citizen/eu-rules/you-work-in-denmark"/>
    <hyperlink ref="C38" r:id="rId35" display="https://www.ucd.ie/students/fees/eucoursefees/euundergraduatefees202627/"/>
    <hyperlink ref="C39" r:id="rId36" display="https://www.ucd.ie/global/study-at-ucd/scholarshipsfinances/livingcosts/"/>
    <hyperlink ref="C40" r:id="rId37" display="https://www.ucd.ie/myucd/t4media/LC_Points_2026.pdf"/>
    <hyperlink ref="C41" r:id="rId38" display="https://www.tcd.ie/courses/undergraduate/fees/"/>
    <hyperlink ref="C42" r:id="rId39" display="https://www.tcd.ie/study/assets/pdfs/2025-cao-minimum-entry-points-final.pdf"/>
    <hyperlink ref="C43" r:id="rId40" display="https://www2.cao.ie/downloads/documents/2025/Guidelines-EU-EFTA-UK-2025.pdf"/>
    <hyperlink ref="C44" r:id="rId41" display="https://www.rte.ie/documents/news/2026/05/daft.ie-rental-report-2026q1.pdf"/>
    <hyperlink ref="C45" r:id="rId42" display="https://www.irishtimes.com/politics/2026/10/04/prospect-of-a-250-cut-to-student-contribution-fees-recedes-ahead-of-budget-202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2026-10-05T11:24:04Z</dcterms:created>
  <dc:creator>openpyxl</dc:creator>
  <dc:description/>
  <dc:language>en-US</dc:language>
  <cp:lastModifiedBy/>
  <dcterms:modified xsi:type="dcterms:W3CDTF">2026-10-05T13:24:06Z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